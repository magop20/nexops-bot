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ops" sheetId="1" state="visible" r:id="rId1"/>
    <sheet xmlns:r="http://schemas.openxmlformats.org/officeDocument/2006/relationships" name="Инструкция" sheetId="2" state="visible" r:id="rId2"/>
    <sheet xmlns:r="http://schemas.openxmlformats.org/officeDocument/2006/relationships" name="РНП" sheetId="3" state="visible" r:id="rId3"/>
    <sheet xmlns:r="http://schemas.openxmlformats.org/officeDocument/2006/relationships" name="Маркетинг" sheetId="4" state="visible" r:id="rId4"/>
    <sheet xmlns:r="http://schemas.openxmlformats.org/officeDocument/2006/relationships" name="Продаж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%"/>
  </numFmts>
  <fonts count="5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D4A017"/>
      <sz val="8"/>
    </font>
    <font>
      <name val="Arial"/>
      <color rgb="000F0F1A"/>
      <sz val="9"/>
    </font>
    <font>
      <name val="Arial"/>
      <i val="1"/>
      <color rgb="00555566"/>
      <sz val="8"/>
    </font>
    <font>
      <name val="Arial"/>
      <b val="1"/>
      <color rgb="00FFFFFF"/>
      <sz val="8"/>
    </font>
    <font>
      <name val="Arial"/>
      <b val="1"/>
      <color rgb="000F0F1A"/>
      <sz val="7"/>
    </font>
    <font>
      <name val="Arial"/>
      <b val="1"/>
      <color rgb="000F0F1A"/>
      <sz val="8"/>
    </font>
    <font>
      <name val="Arial"/>
      <b val="1"/>
      <color rgb="00D4A017"/>
      <sz val="9"/>
    </font>
    <font>
      <name val="Arial"/>
      <i val="1"/>
      <color rgb="00666666"/>
      <sz val="8"/>
    </font>
    <font>
      <name val="Arial"/>
      <b val="1"/>
      <color rgb="0022C55E"/>
      <sz val="9"/>
    </font>
    <font>
      <name val="Arial"/>
      <b val="1"/>
      <color rgb="00EF4444"/>
      <sz val="8"/>
    </font>
    <font>
      <name val="Arial"/>
      <b val="1"/>
      <color rgb="00EF4444"/>
      <sz val="9"/>
    </font>
    <font>
      <name val="Arial"/>
      <i val="1"/>
      <color rgb="00AAAAAA"/>
      <sz val="8"/>
    </font>
    <font>
      <name val="Arial"/>
      <color rgb="00FFFFFF"/>
      <sz val="8"/>
    </font>
    <font>
      <name val="Arial"/>
      <b val="1"/>
      <color rgb="00FFFFFF"/>
      <sz val="7"/>
    </font>
    <font>
      <name val="Arial"/>
      <b val="1"/>
      <color rgb="00FFFFFF"/>
      <sz val="9"/>
    </font>
    <font>
      <name val="Arial"/>
      <b val="1"/>
      <color rgb="00FFFFFF"/>
      <sz val="16"/>
    </font>
    <font>
      <name val="Arial"/>
      <color rgb="00666666"/>
      <sz val="9"/>
    </font>
    <font>
      <name val="Inter"/>
      <b val="1"/>
      <color rgb="00FFFFFF"/>
      <sz val="16"/>
    </font>
    <font>
      <name val="Inter"/>
      <i val="1"/>
      <color rgb="00888888"/>
      <sz val="9"/>
    </font>
    <font>
      <name val="Inter"/>
      <b val="1"/>
      <color rgb="000F0F1A"/>
      <sz val="8"/>
    </font>
    <font>
      <name val="Inter"/>
      <color rgb="00666666"/>
      <sz val="9"/>
    </font>
    <font>
      <name val="Inter"/>
      <i val="1"/>
      <color rgb="00AAAAAA"/>
      <sz val="8"/>
    </font>
    <font>
      <name val="Inter"/>
      <b val="1"/>
      <color rgb="00FFFFFF"/>
      <sz val="14"/>
    </font>
    <font>
      <name val="Inter"/>
      <b val="1"/>
      <color rgb="00D4A017"/>
      <sz val="8"/>
    </font>
    <font>
      <name val="Inter"/>
      <color rgb="000F0F1A"/>
      <sz val="9"/>
    </font>
    <font>
      <name val="Inter"/>
      <i val="1"/>
      <color rgb="00555566"/>
      <sz val="8"/>
    </font>
    <font>
      <name val="Inter"/>
      <b val="1"/>
      <color rgb="00FFFFFF"/>
      <sz val="8"/>
    </font>
    <font>
      <name val="Inter"/>
      <b val="1"/>
      <color rgb="000F0F1A"/>
      <sz val="7"/>
    </font>
    <font>
      <name val="Inter"/>
      <b val="1"/>
      <color rgb="00D4A017"/>
      <sz val="9"/>
    </font>
    <font>
      <name val="Inter"/>
      <i val="1"/>
      <color rgb="00666666"/>
      <sz val="8"/>
    </font>
    <font>
      <name val="Inter"/>
      <b val="1"/>
      <color rgb="0022C55E"/>
      <sz val="9"/>
    </font>
    <font>
      <name val="Inter"/>
      <b val="1"/>
      <color rgb="00EF4444"/>
      <sz val="8"/>
    </font>
    <font>
      <name val="Inter"/>
      <b val="1"/>
      <color rgb="00EF4444"/>
      <sz val="9"/>
    </font>
    <font>
      <name val="Inter"/>
      <color rgb="00FFFFFF"/>
      <sz val="8"/>
    </font>
    <font>
      <name val="Inter"/>
      <b val="1"/>
      <color rgb="00FFFFFF"/>
      <sz val="7"/>
    </font>
    <font>
      <name val="Inter"/>
      <b val="1"/>
      <color rgb="00FFFFFF"/>
      <sz val="9"/>
    </font>
    <font>
      <name val="Unbounded"/>
      <b val="1"/>
      <color rgb="000F0F1A"/>
      <sz val="20"/>
    </font>
    <font>
      <name val="Inter"/>
      <b val="1"/>
      <color rgb="00FFFFFF"/>
      <sz val="22"/>
    </font>
    <font>
      <name val="Unbounded"/>
      <b val="1"/>
      <color rgb="00FFFFFF"/>
      <sz val="22"/>
    </font>
    <font>
      <name val="Inter"/>
      <i val="1"/>
      <color rgb="00AAAAAA"/>
      <sz val="9"/>
    </font>
    <font>
      <name val="Inter"/>
      <color rgb="00D4A017"/>
      <sz val="9"/>
    </font>
    <font>
      <name val="Inter"/>
      <b val="1"/>
      <color rgb="00D4A017"/>
      <sz val="14"/>
    </font>
    <font>
      <name val="Unbounded"/>
      <b val="1"/>
      <color rgb="00D4A017"/>
      <sz val="14"/>
    </font>
    <font>
      <name val="Inter"/>
      <color rgb="00AAAAAA"/>
      <sz val="9"/>
    </font>
    <font>
      <name val="Inter"/>
      <b val="1"/>
      <color rgb="00FFFFFF"/>
      <sz val="10"/>
    </font>
    <font>
      <name val="Inter"/>
      <b val="1"/>
      <color rgb="00FFFFFF"/>
      <sz val="10"/>
      <u val="single"/>
    </font>
    <font>
      <name val="Inter"/>
      <i val="1"/>
      <color rgb="00666666"/>
      <sz val="9"/>
    </font>
    <font>
      <name val="Inter"/>
      <b val="1"/>
      <color rgb="000F0F1A"/>
      <sz val="9"/>
    </font>
    <font>
      <name val="Inter"/>
      <b val="1"/>
      <color rgb="00FFFFFF"/>
      <sz val="13"/>
    </font>
    <font>
      <name val="Unbounded"/>
      <b val="1"/>
      <color rgb="00FFFFFF"/>
      <sz val="13"/>
    </font>
    <font>
      <name val="Inter"/>
      <i val="1"/>
      <color rgb="00888888"/>
      <sz val="7"/>
    </font>
  </fonts>
  <fills count="11">
    <fill>
      <patternFill/>
    </fill>
    <fill>
      <patternFill patternType="gray125"/>
    </fill>
    <fill>
      <patternFill patternType="solid">
        <fgColor rgb="00D4A017"/>
      </patternFill>
    </fill>
    <fill>
      <patternFill patternType="solid">
        <fgColor rgb="000F0F1A"/>
      </patternFill>
    </fill>
    <fill>
      <patternFill patternType="solid">
        <fgColor rgb="001A1A2E"/>
      </patternFill>
    </fill>
    <fill>
      <patternFill patternType="solid">
        <fgColor rgb="00E8E7E2"/>
      </patternFill>
    </fill>
    <fill>
      <patternFill patternType="solid">
        <fgColor rgb="00FFFFFF"/>
      </patternFill>
    </fill>
    <fill>
      <patternFill patternType="solid">
        <fgColor rgb="00F0EFEA"/>
      </patternFill>
    </fill>
    <fill>
      <patternFill patternType="solid">
        <fgColor rgb="00FDF6E3"/>
      </patternFill>
    </fill>
    <fill>
      <patternFill patternType="solid">
        <fgColor rgb="00FFF5F5"/>
      </patternFill>
    </fill>
    <fill>
      <patternFill patternType="solid">
        <fgColor rgb="00F5F4EF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D4A017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EF4444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8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0" fontId="19" fillId="6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5" fillId="4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/>
    </xf>
    <xf numFmtId="9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/>
    </xf>
    <xf numFmtId="9" fontId="4" fillId="7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9" borderId="3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0" fillId="5" borderId="0" pivotButton="0" quotePrefix="0" xfId="0"/>
    <xf numFmtId="0" fontId="9" fillId="3" borderId="2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165" fontId="4" fillId="7" borderId="1" applyAlignment="1" pivotButton="0" quotePrefix="0" xfId="0">
      <alignment horizontal="center" vertical="center"/>
    </xf>
    <xf numFmtId="0" fontId="17" fillId="3" borderId="2" applyAlignment="1" pivotButton="0" quotePrefix="0" xfId="0">
      <alignment horizontal="left" vertical="center"/>
    </xf>
    <xf numFmtId="0" fontId="20" fillId="3" borderId="0" applyAlignment="1" pivotButton="0" quotePrefix="0" xfId="0">
      <alignment horizontal="left" vertical="center"/>
    </xf>
    <xf numFmtId="0" fontId="21" fillId="3" borderId="0" applyAlignment="1" pivotButton="0" quotePrefix="0" xfId="0">
      <alignment horizontal="center" vertical="center"/>
    </xf>
    <xf numFmtId="0" fontId="22" fillId="8" borderId="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3" fillId="6" borderId="0" applyAlignment="1" pivotButton="0" quotePrefix="0" xfId="0">
      <alignment horizontal="left" vertical="center" wrapText="1"/>
    </xf>
    <xf numFmtId="0" fontId="24" fillId="6" borderId="0" applyAlignment="1" pivotButton="0" quotePrefix="0" xfId="0">
      <alignment horizontal="center" vertical="center"/>
    </xf>
    <xf numFmtId="0" fontId="25" fillId="3" borderId="0" applyAlignment="1" pivotButton="0" quotePrefix="0" xfId="0">
      <alignment horizontal="left" vertical="center"/>
    </xf>
    <xf numFmtId="0" fontId="21" fillId="3" borderId="0" applyAlignment="1" pivotButton="0" quotePrefix="0" xfId="0">
      <alignment horizontal="right" vertical="center"/>
    </xf>
    <xf numFmtId="0" fontId="26" fillId="3" borderId="0" applyAlignment="1" pivotButton="0" quotePrefix="0" xfId="0">
      <alignment horizontal="left" vertical="center"/>
    </xf>
    <xf numFmtId="0" fontId="27" fillId="3" borderId="0" applyAlignment="1" pivotButton="0" quotePrefix="0" xfId="0">
      <alignment horizontal="left" vertical="center"/>
    </xf>
    <xf numFmtId="0" fontId="28" fillId="4" borderId="0" applyAlignment="1" pivotButton="0" quotePrefix="0" xfId="0">
      <alignment horizontal="left" vertical="center"/>
    </xf>
    <xf numFmtId="0" fontId="29" fillId="3" borderId="1" applyAlignment="1" pivotButton="0" quotePrefix="0" xfId="0">
      <alignment horizontal="left" vertical="center"/>
    </xf>
    <xf numFmtId="0" fontId="29" fillId="3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27" fillId="5" borderId="0" applyAlignment="1" pivotButton="0" quotePrefix="0" xfId="0">
      <alignment horizontal="left" vertical="center"/>
    </xf>
    <xf numFmtId="0" fontId="30" fillId="5" borderId="1" applyAlignment="1" pivotButton="0" quotePrefix="0" xfId="0">
      <alignment horizontal="center" vertical="center"/>
    </xf>
    <xf numFmtId="0" fontId="26" fillId="3" borderId="2" applyAlignment="1" pivotButton="0" quotePrefix="0" xfId="0">
      <alignment horizontal="left" vertical="center"/>
    </xf>
    <xf numFmtId="0" fontId="27" fillId="6" borderId="1" applyAlignment="1" pivotButton="0" quotePrefix="0" xfId="0">
      <alignment horizontal="left" vertical="center" wrapText="1"/>
    </xf>
    <xf numFmtId="164" fontId="27" fillId="6" borderId="1" applyAlignment="1" pivotButton="0" quotePrefix="0" xfId="0">
      <alignment horizontal="center" vertical="center"/>
    </xf>
    <xf numFmtId="9" fontId="27" fillId="6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 wrapText="1"/>
    </xf>
    <xf numFmtId="164" fontId="27" fillId="7" borderId="1" applyAlignment="1" pivotButton="0" quotePrefix="0" xfId="0">
      <alignment horizontal="center" vertical="center"/>
    </xf>
    <xf numFmtId="9" fontId="27" fillId="7" borderId="1" applyAlignment="1" pivotButton="0" quotePrefix="0" xfId="0">
      <alignment horizontal="center" vertical="center"/>
    </xf>
    <xf numFmtId="165" fontId="27" fillId="6" borderId="1" applyAlignment="1" pivotButton="0" quotePrefix="0" xfId="0">
      <alignment horizontal="center" vertical="center"/>
    </xf>
    <xf numFmtId="165" fontId="27" fillId="7" borderId="1" applyAlignment="1" pivotButton="0" quotePrefix="0" xfId="0">
      <alignment horizontal="center" vertical="center"/>
    </xf>
    <xf numFmtId="0" fontId="31" fillId="6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/>
    </xf>
    <xf numFmtId="0" fontId="32" fillId="6" borderId="1" applyAlignment="1" pivotButton="0" quotePrefix="0" xfId="0">
      <alignment horizontal="center" vertical="center"/>
    </xf>
    <xf numFmtId="0" fontId="31" fillId="7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/>
    </xf>
    <xf numFmtId="0" fontId="22" fillId="5" borderId="2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0" fontId="33" fillId="6" borderId="1" applyAlignment="1" pivotButton="0" quotePrefix="0" xfId="0">
      <alignment horizontal="center" vertical="center"/>
    </xf>
    <xf numFmtId="0" fontId="34" fillId="9" borderId="3" applyAlignment="1" pivotButton="0" quotePrefix="0" xfId="0">
      <alignment horizontal="left" vertical="center"/>
    </xf>
    <xf numFmtId="0" fontId="35" fillId="6" borderId="1" applyAlignment="1" pivotButton="0" quotePrefix="0" xfId="0">
      <alignment horizontal="center" vertical="center"/>
    </xf>
    <xf numFmtId="0" fontId="35" fillId="7" borderId="1" applyAlignment="1" pivotButton="0" quotePrefix="0" xfId="0">
      <alignment horizontal="center" vertical="center"/>
    </xf>
    <xf numFmtId="0" fontId="36" fillId="3" borderId="0" applyAlignment="1" pivotButton="0" quotePrefix="0" xfId="0">
      <alignment horizontal="center" vertical="center"/>
    </xf>
    <xf numFmtId="0" fontId="37" fillId="3" borderId="1" applyAlignment="1" pivotButton="0" quotePrefix="0" xfId="0">
      <alignment horizontal="center" vertical="center"/>
    </xf>
    <xf numFmtId="0" fontId="31" fillId="3" borderId="2" applyAlignment="1" pivotButton="0" quotePrefix="0" xfId="0">
      <alignment horizontal="left" vertical="center"/>
    </xf>
    <xf numFmtId="0" fontId="26" fillId="3" borderId="0" applyAlignment="1" pivotButton="0" quotePrefix="0" xfId="0">
      <alignment horizontal="center" vertical="center"/>
    </xf>
    <xf numFmtId="0" fontId="29" fillId="3" borderId="0" applyAlignment="1" pivotButton="0" quotePrefix="0" xfId="0">
      <alignment horizontal="left" vertical="center"/>
    </xf>
    <xf numFmtId="0" fontId="38" fillId="3" borderId="2" applyAlignment="1" pivotButton="0" quotePrefix="0" xfId="0">
      <alignment horizontal="left" vertical="center"/>
    </xf>
    <xf numFmtId="0" fontId="39" fillId="2" borderId="0" applyAlignment="1" pivotButton="0" quotePrefix="0" xfId="0">
      <alignment horizontal="center" vertical="center"/>
    </xf>
    <xf numFmtId="0" fontId="41" fillId="3" borderId="0" applyAlignment="1" pivotButton="0" quotePrefix="0" xfId="0">
      <alignment horizontal="left" vertical="bottom"/>
    </xf>
    <xf numFmtId="0" fontId="42" fillId="3" borderId="0" applyAlignment="1" pivotButton="0" quotePrefix="0" xfId="0">
      <alignment horizontal="left" vertical="top"/>
    </xf>
    <xf numFmtId="0" fontId="43" fillId="3" borderId="0" applyAlignment="1" pivotButton="0" quotePrefix="0" xfId="0">
      <alignment horizontal="left" vertical="center"/>
    </xf>
    <xf numFmtId="0" fontId="45" fillId="3" borderId="0" applyAlignment="1" pivotButton="0" quotePrefix="0" xfId="0">
      <alignment horizontal="left" vertical="center"/>
    </xf>
    <xf numFmtId="0" fontId="46" fillId="3" borderId="0" applyAlignment="1" pivotButton="0" quotePrefix="0" xfId="0">
      <alignment horizontal="center" vertical="center"/>
    </xf>
    <xf numFmtId="0" fontId="48" fillId="3" borderId="0" applyAlignment="1" pivotButton="0" quotePrefix="0" xfId="0">
      <alignment horizontal="right" vertical="center"/>
    </xf>
    <xf numFmtId="0" fontId="0" fillId="10" borderId="0" pivotButton="0" quotePrefix="0" xfId="0"/>
    <xf numFmtId="0" fontId="31" fillId="10" borderId="2" applyAlignment="1" pivotButton="0" quotePrefix="0" xfId="0">
      <alignment horizontal="left" vertical="center"/>
    </xf>
    <xf numFmtId="0" fontId="49" fillId="10" borderId="0" applyAlignment="1" pivotButton="0" quotePrefix="0" xfId="0">
      <alignment horizontal="left" vertical="center" wrapText="1"/>
    </xf>
    <xf numFmtId="0" fontId="26" fillId="10" borderId="2" applyAlignment="1" pivotButton="0" quotePrefix="0" xfId="0">
      <alignment horizontal="center" vertical="center"/>
    </xf>
    <xf numFmtId="0" fontId="50" fillId="10" borderId="2" applyAlignment="1" pivotButton="0" quotePrefix="0" xfId="0">
      <alignment horizontal="center" vertical="center" wrapText="1"/>
    </xf>
    <xf numFmtId="0" fontId="32" fillId="10" borderId="2" applyAlignment="1" pivotButton="0" quotePrefix="0" xfId="0">
      <alignment horizontal="center" vertical="center" wrapText="1"/>
    </xf>
    <xf numFmtId="0" fontId="33" fillId="3" borderId="0" applyAlignment="1" pivotButton="0" quotePrefix="0" xfId="0">
      <alignment horizontal="left" vertical="center"/>
    </xf>
    <xf numFmtId="0" fontId="52" fillId="3" borderId="0" applyAlignment="1" pivotButton="0" quotePrefix="0" xfId="0">
      <alignment horizontal="left" vertical="center" wrapText="1"/>
    </xf>
    <xf numFmtId="0" fontId="42" fillId="3" borderId="0" applyAlignment="1" pivotButton="0" quotePrefix="0" xfId="0">
      <alignment horizontal="left" vertical="center"/>
    </xf>
    <xf numFmtId="0" fontId="26" fillId="3" borderId="0" applyAlignment="1" pivotButton="0" quotePrefix="0" xfId="0">
      <alignment horizontal="center" vertical="center"/>
    </xf>
    <xf numFmtId="0" fontId="53" fillId="3" borderId="0" applyAlignment="1" pivotButton="0" quotePrefix="0" xfId="0">
      <alignment horizontal="center" vertical="center"/>
    </xf>
    <xf numFmtId="0" fontId="24" fillId="10" borderId="0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FDF6E3"/>
          <bgColor rgb="00FDF6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dir.nexops.ru" TargetMode="External" Id="rId1"/><Relationship Type="http://schemas.openxmlformats.org/officeDocument/2006/relationships/hyperlink" Target="https://diagnostika.nexops.ru" TargetMode="External" Id="rId2"/><Relationship Type="http://schemas.openxmlformats.org/officeDocument/2006/relationships/hyperlink" Target="https://stratsessiya.nexops.ru" TargetMode="External" Id="rId3"/><Relationship Type="http://schemas.openxmlformats.org/officeDocument/2006/relationships/hyperlink" Target="https://ai.nexops.ru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" customWidth="1" min="9" max="9"/>
    <col width="2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8" customHeight="1">
      <c r="A3" s="2" t="n"/>
      <c r="B3" s="94" t="inlineStr">
        <is>
          <t>N</t>
        </is>
      </c>
      <c r="C3" s="95" t="inlineStr">
        <is>
          <t>NEXOPS</t>
        </is>
      </c>
      <c r="G3" s="2" t="n"/>
      <c r="H3" s="2" t="n"/>
      <c r="I3" s="2" t="n"/>
      <c r="J3" s="2" t="n"/>
    </row>
    <row r="4" ht="28" customHeight="1">
      <c r="A4" s="2" t="n"/>
      <c r="C4" s="96" t="inlineStr">
        <is>
          <t>Операционный штаб для МСБ · Выстраиваем систему в вашем бизнесе</t>
        </is>
      </c>
      <c r="I4" s="2" t="n"/>
      <c r="J4" s="2" t="n"/>
    </row>
    <row r="5" ht="20" customHeight="1">
      <c r="A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6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20" customHeight="1">
      <c r="A7" s="2" t="n"/>
      <c r="B7" s="2" t="n"/>
      <c r="C7" s="97" t="inlineStr">
        <is>
          <t>●  Операционный директор на аутсорсе</t>
        </is>
      </c>
      <c r="D7" s="2" t="n"/>
      <c r="E7" s="2" t="n"/>
      <c r="F7" s="97" t="inlineStr">
        <is>
          <t>●  Трекинг команды</t>
        </is>
      </c>
      <c r="G7" s="2" t="n"/>
      <c r="H7" s="2" t="n"/>
      <c r="I7" s="2" t="n"/>
      <c r="J7" s="2" t="n"/>
    </row>
    <row r="8" ht="20" customHeight="1">
      <c r="A8" s="2" t="n"/>
      <c r="B8" s="2" t="n"/>
      <c r="C8" s="97" t="inlineStr">
        <is>
          <t>●  Диагностика бизнеса</t>
        </is>
      </c>
      <c r="D8" s="2" t="n"/>
      <c r="E8" s="2" t="n"/>
      <c r="F8" s="97" t="inlineStr">
        <is>
          <t>●  Стратегическая сессия</t>
        </is>
      </c>
      <c r="G8" s="2" t="n"/>
      <c r="H8" s="2" t="n"/>
      <c r="I8" s="2" t="n"/>
      <c r="J8" s="2" t="n"/>
    </row>
    <row r="9" ht="20" customHeight="1">
      <c r="A9" s="2" t="n"/>
      <c r="B9" s="2" t="n"/>
      <c r="C9" s="97" t="inlineStr">
        <is>
          <t>●  ИИ-автоматизация</t>
        </is>
      </c>
      <c r="D9" s="2" t="n"/>
      <c r="E9" s="2" t="n"/>
      <c r="F9" s="97" t="inlineStr">
        <is>
          <t>●  Пул экспертов под вашу нишу</t>
        </is>
      </c>
      <c r="G9" s="2" t="n"/>
      <c r="H9" s="2" t="n"/>
      <c r="I9" s="2" t="n"/>
      <c r="J9" s="2" t="n"/>
    </row>
    <row r="10" ht="6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6" customHeight="1">
      <c r="A11" s="2" t="n"/>
      <c r="B11" s="2" t="n"/>
      <c r="C11" s="98" t="inlineStr">
        <is>
          <t>от 90 000 ₽/мес</t>
        </is>
      </c>
      <c r="D11" s="2" t="n"/>
      <c r="E11" s="99" t="inlineStr">
        <is>
          <t>Онлайн + офлайн · Вся Россия</t>
        </is>
      </c>
      <c r="F11" s="2" t="n"/>
      <c r="G11" s="100" t="inlineStr">
        <is>
          <t>opdir.nexops.ru</t>
        </is>
      </c>
      <c r="H11" s="2" t="n"/>
      <c r="I11" s="2" t="n"/>
      <c r="J11" s="2" t="n"/>
    </row>
    <row r="12" ht="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 ht="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 ht="10" customHeight="1">
      <c r="A14" s="101" t="n"/>
      <c r="B14" s="101" t="n"/>
      <c r="C14" s="101" t="n"/>
      <c r="D14" s="101" t="n"/>
      <c r="E14" s="101" t="n"/>
      <c r="F14" s="101" t="n"/>
      <c r="G14" s="101" t="n"/>
      <c r="H14" s="101" t="n"/>
      <c r="I14" s="101" t="n"/>
      <c r="J14" s="101" t="n"/>
    </row>
    <row r="15" ht="22" customHeight="1">
      <c r="A15" s="101" t="n"/>
      <c r="B15" s="101" t="n"/>
      <c r="C15" s="102" t="inlineStr">
        <is>
          <t>О ШАБЛОНЕ — ЕЖЕНЕДЕЛЬНЫЙ ТРЕКИНГ-ОТЧЁТ РНП</t>
        </is>
      </c>
      <c r="I15" s="101" t="n"/>
      <c r="J15" s="101" t="n"/>
    </row>
    <row r="16" ht="36" customHeight="1">
      <c r="A16" s="101" t="n"/>
      <c r="B16" s="101" t="n"/>
      <c r="C16" s="103" t="inlineStr">
        <is>
          <t>Этот файл — операционный инструмент для еженедельного разбора с трекером или опердиром. Вносите плановые и фактические данные — файл считает всё автоматически.</t>
        </is>
      </c>
      <c r="I16" s="101" t="n"/>
      <c r="J16" s="101" t="n"/>
    </row>
    <row r="17" ht="8" customHeight="1">
      <c r="A17" s="101" t="n"/>
      <c r="B17" s="101" t="n"/>
      <c r="C17" s="101" t="n"/>
      <c r="D17" s="101" t="n"/>
      <c r="E17" s="101" t="n"/>
      <c r="F17" s="101" t="n"/>
      <c r="G17" s="101" t="n"/>
      <c r="H17" s="101" t="n"/>
      <c r="I17" s="101" t="n"/>
      <c r="J17" s="101" t="n"/>
    </row>
    <row r="18" ht="20" customHeight="1">
      <c r="A18" s="101" t="n"/>
      <c r="B18" s="101" t="n"/>
      <c r="C18" s="104" t="inlineStr">
        <is>
          <t>[ РНП ]</t>
        </is>
      </c>
      <c r="D18" s="104" t="inlineStr">
        <is>
          <t>[ Маркетинг ]</t>
        </is>
      </c>
      <c r="E18" s="104" t="inlineStr">
        <is>
          <t>[ Продажи ]</t>
        </is>
      </c>
      <c r="F18" s="104" t="inlineStr">
        <is>
          <t>[ Инструкция ]</t>
        </is>
      </c>
      <c r="G18" s="101" t="n"/>
      <c r="H18" s="101" t="n"/>
      <c r="I18" s="101" t="n"/>
      <c r="J18" s="101" t="n"/>
    </row>
    <row r="19" ht="20" customHeight="1">
      <c r="A19" s="101" t="n"/>
      <c r="B19" s="101" t="n"/>
      <c r="C19" s="105" t="inlineStr">
        <is>
          <t>Главный экран</t>
        </is>
      </c>
      <c r="D19" s="105" t="inlineStr">
        <is>
          <t>Детализация по каналам</t>
        </is>
      </c>
      <c r="E19" s="105" t="inlineStr">
        <is>
          <t>По менеджерам</t>
        </is>
      </c>
      <c r="F19" s="105" t="inlineStr">
        <is>
          <t>Как использовать</t>
        </is>
      </c>
      <c r="G19" s="101" t="n"/>
      <c r="H19" s="101" t="n"/>
      <c r="I19" s="101" t="n"/>
      <c r="J19" s="101" t="n"/>
    </row>
    <row r="20" ht="44" customHeight="1">
      <c r="A20" s="101" t="n"/>
      <c r="B20" s="101" t="n"/>
      <c r="C20" s="106" t="inlineStr">
        <is>
          <t>Сводка KPI, воронка, конверсии, задачи, блокеры. Открывайте перед каждой встречей.</t>
        </is>
      </c>
      <c r="D20" s="106" t="inlineStr">
        <is>
          <t>TG, посевы, YouTube, Авито — план/факт по дням. Прогноз считается автоматически.</t>
        </is>
      </c>
      <c r="E20" s="106" t="inlineStr">
        <is>
          <t>Воронка каждого менеджера по дням. Итоги агрегируются. CV воронки — авто.</t>
        </is>
      </c>
      <c r="F20" s="106" t="inlineStr">
        <is>
          <t>Логика работы, цветовая кодировка и правила заполнения шаблона.</t>
        </is>
      </c>
      <c r="G20" s="101" t="n"/>
      <c r="H20" s="101" t="n"/>
      <c r="I20" s="101" t="n"/>
      <c r="J20" s="101" t="n"/>
    </row>
    <row r="21" ht="10" customHeight="1">
      <c r="A21" s="101" t="n"/>
      <c r="B21" s="101" t="n"/>
      <c r="C21" s="101" t="n"/>
      <c r="D21" s="101" t="n"/>
      <c r="E21" s="101" t="n"/>
      <c r="F21" s="101" t="n"/>
      <c r="G21" s="101" t="n"/>
      <c r="H21" s="101" t="n"/>
      <c r="I21" s="101" t="n"/>
      <c r="J21" s="101" t="n"/>
    </row>
    <row r="22" ht="10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22" customHeight="1">
      <c r="A23" s="2" t="n"/>
      <c r="B23" s="2" t="n"/>
      <c r="C23" s="107" t="inlineStr">
        <is>
          <t>●  Принимаем заявки</t>
        </is>
      </c>
      <c r="D23" s="2" t="n"/>
      <c r="E23" s="2" t="n"/>
      <c r="F23" s="2" t="n"/>
      <c r="G23" s="2" t="n"/>
      <c r="H23" s="2" t="n"/>
      <c r="I23" s="2" t="n"/>
      <c r="J23" s="2" t="n"/>
    </row>
    <row r="24" ht="36" customHeight="1">
      <c r="A24" s="2" t="n"/>
      <c r="B24" s="2" t="n"/>
      <c r="C24" s="108" t="inlineStr">
        <is>
          <t>Получите бесплатный разбор вашей ситуации — 30 минут с экспертом Nexops</t>
        </is>
      </c>
      <c r="I24" s="2" t="n"/>
      <c r="J24" s="2" t="n"/>
    </row>
    <row r="25" ht="22" customHeight="1">
      <c r="A25" s="2" t="n"/>
      <c r="B25" s="2" t="n"/>
      <c r="C25" s="109" t="inlineStr">
        <is>
          <t>Покажем узкие места, дадим конкретный первый шаг. Без продажи в лоб.</t>
        </is>
      </c>
      <c r="I25" s="2" t="n"/>
      <c r="J25" s="2" t="n"/>
    </row>
    <row r="26" ht="10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20" customHeight="1">
      <c r="A27" s="2" t="n"/>
      <c r="B27" s="2" t="n"/>
      <c r="C27" s="110" t="inlineStr">
        <is>
          <t>Опердир + Трекинг</t>
        </is>
      </c>
      <c r="D27" s="110" t="inlineStr">
        <is>
          <t>Диагностика</t>
        </is>
      </c>
      <c r="E27" s="110" t="inlineStr">
        <is>
          <t>Стратсессия</t>
        </is>
      </c>
      <c r="F27" s="110" t="inlineStr">
        <is>
          <t>ИИ-автоматизация</t>
        </is>
      </c>
      <c r="G27" s="2" t="n"/>
      <c r="H27" s="2" t="n"/>
      <c r="I27" s="2" t="n"/>
      <c r="J27" s="2" t="n"/>
    </row>
    <row r="28" ht="18" customHeight="1">
      <c r="A28" s="2" t="n"/>
      <c r="B28" s="2" t="n"/>
      <c r="C28" s="111" t="inlineStr">
        <is>
          <t>opdir.nexops.ru</t>
        </is>
      </c>
      <c r="D28" s="111" t="inlineStr">
        <is>
          <t>diagnostika.nexops.ru</t>
        </is>
      </c>
      <c r="E28" s="111" t="inlineStr">
        <is>
          <t>stratsessiya.nexops.ru</t>
        </is>
      </c>
      <c r="F28" s="111" t="inlineStr">
        <is>
          <t>ai.nexops.ru</t>
        </is>
      </c>
      <c r="G28" s="2" t="n"/>
      <c r="H28" s="2" t="n"/>
      <c r="I28" s="2" t="n"/>
      <c r="J28" s="2" t="n"/>
    </row>
    <row r="29" ht="10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18" customHeight="1">
      <c r="A30" s="101" t="n"/>
      <c r="B30" s="101" t="n"/>
      <c r="C30" s="112" t="inlineStr">
        <is>
          <t>© 2026 Nexops · Операционный консалтинг · opdir.nexops.ru</t>
        </is>
      </c>
      <c r="I30" s="101" t="n"/>
      <c r="J30" s="101" t="n"/>
    </row>
  </sheetData>
  <mergeCells count="8">
    <mergeCell ref="C25:H25"/>
    <mergeCell ref="C24:H24"/>
    <mergeCell ref="C16:H16"/>
    <mergeCell ref="C3:F3"/>
    <mergeCell ref="C4:H4"/>
    <mergeCell ref="B3:B5"/>
    <mergeCell ref="C30:H30"/>
    <mergeCell ref="C15:H15"/>
  </mergeCells>
  <hyperlinks>
    <hyperlink xmlns:r="http://schemas.openxmlformats.org/officeDocument/2006/relationships" ref="C27" r:id="rId1"/>
    <hyperlink xmlns:r="http://schemas.openxmlformats.org/officeDocument/2006/relationships" ref="D27" r:id="rId2"/>
    <hyperlink xmlns:r="http://schemas.openxmlformats.org/officeDocument/2006/relationships" ref="E27" r:id="rId3"/>
    <hyperlink xmlns:r="http://schemas.openxmlformats.org/officeDocument/2006/relationships" ref="F27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8" customHeight="1">
      <c r="A3" s="2" t="n"/>
      <c r="B3" s="50" t="inlineStr">
        <is>
          <t>Трекинг-отчёт РНП — Nexops. Инструкция по использованию</t>
        </is>
      </c>
      <c r="I3" s="2" t="n"/>
    </row>
    <row r="4" ht="18" customHeight="1">
      <c r="A4" s="2" t="n"/>
      <c r="B4" s="51" t="inlineStr">
        <is>
          <t>opdir.nexops.ru · Операционный штаб для МСБ</t>
        </is>
      </c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B7" s="52" t="inlineStr">
        <is>
          <t>1. ЛИСТ «ПРОДАЖИ»</t>
        </is>
      </c>
      <c r="C7" s="53" t="n"/>
      <c r="D7" s="53" t="n"/>
      <c r="E7" s="53" t="n"/>
      <c r="F7" s="53" t="n"/>
      <c r="G7" s="53" t="n"/>
      <c r="H7" s="54" t="n"/>
    </row>
    <row r="8" ht="40" customHeight="1">
      <c r="B8" s="55" t="inlineStr">
        <is>
          <t>Заполняйте ежедневно: сколько лидов получено, КП отправлено, встреч назначено/проведено, продаж совершено, сумму. Вносите данные по каждому менеджеру. Итоги агрегируются автоматически.</t>
        </is>
      </c>
    </row>
    <row r="9" ht="6" customHeight="1"/>
    <row r="10" ht="20" customHeight="1">
      <c r="B10" s="52" t="inlineStr">
        <is>
          <t>2. ЛИСТ «МАРКЕТИНГ»</t>
        </is>
      </c>
      <c r="C10" s="53" t="n"/>
      <c r="D10" s="53" t="n"/>
      <c r="E10" s="53" t="n"/>
      <c r="F10" s="53" t="n"/>
      <c r="G10" s="53" t="n"/>
      <c r="H10" s="54" t="n"/>
    </row>
    <row r="11" ht="40" customHeight="1">
      <c r="B11" s="55" t="inlineStr">
        <is>
          <t>Вносите ежедневные данные по каждому каналу: расходы, кол-во подписчиков, контентных единиц, переходов и лидов. Факт за месяц и недели считается автоматически через SUM.</t>
        </is>
      </c>
    </row>
    <row r="12" ht="6" customHeight="1"/>
    <row r="13" ht="20" customHeight="1">
      <c r="B13" s="52" t="inlineStr">
        <is>
          <t>3. ЛИСТ «РНП»</t>
        </is>
      </c>
      <c r="C13" s="53" t="n"/>
      <c r="D13" s="53" t="n"/>
      <c r="E13" s="53" t="n"/>
      <c r="F13" s="53" t="n"/>
      <c r="G13" s="53" t="n"/>
      <c r="H13" s="54" t="n"/>
    </row>
    <row r="14" ht="40" customHeight="1">
      <c r="B14" s="55" t="inlineStr">
        <is>
          <t>Главный экран. Вносите плановые показатели (столбец ПЛАН). Фактические данные и % выполнения считаются автоматически. Зелёный = план выполнен, красный = отставание. Используйте для встречи с трекером.</t>
        </is>
      </c>
    </row>
    <row r="15" ht="6" customHeight="1"/>
    <row r="16" ht="20" customHeight="1">
      <c r="B16" s="52" t="inlineStr">
        <is>
          <t>4. ЦВЕТОВАЯ ИНДИКАЦИЯ</t>
        </is>
      </c>
      <c r="C16" s="53" t="n"/>
      <c r="D16" s="53" t="n"/>
      <c r="E16" s="53" t="n"/>
      <c r="F16" s="53" t="n"/>
      <c r="G16" s="53" t="n"/>
      <c r="H16" s="54" t="n"/>
    </row>
    <row r="17" ht="40" customHeight="1">
      <c r="B17" s="55" t="inlineStr">
        <is>
          <t>Зелёный фон % — факт ≥ плана. Красный фон — отставание. Жёлтый фон задачи — «В работе». Красный фон задачи — «Блокер». Зелёный фон задачи — «Выполнено'.</t>
        </is>
      </c>
    </row>
    <row r="18" ht="6" customHeight="1"/>
    <row r="19" ht="20" customHeight="1">
      <c r="B19" s="52" t="inlineStr">
        <is>
          <t>5. КОНВЕРСИИ ВОРОНКИ</t>
        </is>
      </c>
      <c r="C19" s="53" t="n"/>
      <c r="D19" s="53" t="n"/>
      <c r="E19" s="53" t="n"/>
      <c r="F19" s="53" t="n"/>
      <c r="G19" s="53" t="n"/>
      <c r="H19" s="54" t="n"/>
    </row>
    <row r="20" ht="40" customHeight="1">
      <c r="B20" s="55" t="inlineStr">
        <is>
          <t>Рассчитываются автоматически из данных воронки: лиды → КП → встречи → продажи. Следите за слабым звеном — оно и есть текущий ограничитель.</t>
        </is>
      </c>
    </row>
    <row r="21" ht="6" customHeight="1"/>
    <row r="22" ht="20" customHeight="1">
      <c r="B22" s="52" t="inlineStr">
        <is>
          <t>6. ВСТРЕЧА С ТРЕКЕРОМ</t>
        </is>
      </c>
      <c r="C22" s="53" t="n"/>
      <c r="D22" s="53" t="n"/>
      <c r="E22" s="53" t="n"/>
      <c r="F22" s="53" t="n"/>
      <c r="G22" s="53" t="n"/>
      <c r="H22" s="54" t="n"/>
    </row>
    <row r="23" ht="40" customHeight="1">
      <c r="B23" s="55" t="inlineStr">
        <is>
          <t>Открывайте лист РНП перед каждой встречей. Трекер задаёт вопрос: «Что за цифрами?» — вы отвечаете конкретным планом действий. Блокеры фиксируйте сразу.</t>
        </is>
      </c>
    </row>
    <row r="24" ht="6" customHeight="1"/>
    <row r="26" ht="18" customHeight="1">
      <c r="B26" s="56" t="inlineStr">
        <is>
          <t>© 2026 Nexops · opdir.nexops.ru · Операционный консалтинг для МСБ</t>
        </is>
      </c>
    </row>
  </sheetData>
  <mergeCells count="15">
    <mergeCell ref="B22:H22"/>
    <mergeCell ref="B14:H14"/>
    <mergeCell ref="B8:H8"/>
    <mergeCell ref="B26:H26"/>
    <mergeCell ref="B17:H17"/>
    <mergeCell ref="B13:H13"/>
    <mergeCell ref="B4:H4"/>
    <mergeCell ref="B16:H16"/>
    <mergeCell ref="B10:H10"/>
    <mergeCell ref="B7:H7"/>
    <mergeCell ref="B11:H11"/>
    <mergeCell ref="B3:H3"/>
    <mergeCell ref="B19:H19"/>
    <mergeCell ref="B20:H20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9" customWidth="1" min="5" max="5"/>
    <col width="2" customWidth="1" min="6" max="6"/>
    <col width="12" customWidth="1" min="7" max="7"/>
    <col width="12" customWidth="1" min="8" max="8"/>
    <col width="9" customWidth="1" min="9" max="9"/>
    <col width="2" customWidth="1" min="10" max="10"/>
    <col width="12" customWidth="1" min="11" max="11"/>
    <col width="12" customWidth="1" min="12" max="12"/>
    <col width="9" customWidth="1" min="13" max="13"/>
    <col width="2" customWidth="1" min="14" max="14"/>
    <col width="12" customWidth="1" min="15" max="15"/>
    <col width="12" customWidth="1" min="16" max="16"/>
    <col width="9" customWidth="1" min="17" max="17"/>
    <col width="2" customWidth="1" min="18" max="18"/>
    <col width="12" customWidth="1" min="19" max="19"/>
    <col width="12" customWidth="1" min="20" max="20"/>
    <col width="9" customWidth="1" min="21" max="21"/>
    <col width="3" customWidth="1" min="22" max="22"/>
  </cols>
  <sheetData>
    <row r="1" ht="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6" customHeight="1">
      <c r="A2" s="2" t="n"/>
      <c r="B2" s="57" t="inlineStr">
        <is>
          <t>РНП — Результаты недели с планом</t>
        </is>
      </c>
      <c r="F2" s="2" t="n"/>
      <c r="G2" s="58" t="inlineStr">
        <is>
          <t>Nexops · Операционный штаб · opdir.nexops.ru</t>
        </is>
      </c>
      <c r="V2" s="2" t="n"/>
    </row>
    <row r="3" ht="18" customHeight="1">
      <c r="A3" s="2" t="n"/>
      <c r="B3" s="59" t="inlineStr">
        <is>
          <t>Месяц:</t>
        </is>
      </c>
      <c r="C3" s="60" t="n"/>
      <c r="D3" s="59" t="inlineStr">
        <is>
          <t>Компания:</t>
        </is>
      </c>
      <c r="E3" s="60" t="n"/>
      <c r="F3" s="2" t="n"/>
      <c r="G3" s="59" t="inlineStr">
        <is>
          <t>Неделя #:</t>
        </is>
      </c>
      <c r="H3" s="60" t="n"/>
      <c r="I3" s="59" t="inlineStr">
        <is>
          <t>Период:</t>
        </is>
      </c>
      <c r="J3" s="60" t="n"/>
      <c r="K3" s="60" t="n"/>
      <c r="L3" s="60" t="n"/>
      <c r="M3" s="59" t="inlineStr">
        <is>
          <t>Трекер:</t>
        </is>
      </c>
      <c r="N3" s="60" t="n"/>
      <c r="O3" s="60" t="n"/>
      <c r="P3" s="60" t="n"/>
      <c r="Q3" s="60" t="n"/>
      <c r="R3" s="2" t="n"/>
      <c r="S3" s="2" t="n"/>
      <c r="T3" s="2" t="n"/>
      <c r="U3" s="2" t="n"/>
      <c r="V3" s="2" t="n"/>
    </row>
    <row r="4" ht="18" customHeight="1">
      <c r="A4" s="12" t="n"/>
      <c r="B4" s="12" t="n"/>
      <c r="C4" s="61" t="inlineStr">
        <is>
          <t>Апрель 2026</t>
        </is>
      </c>
      <c r="D4" s="12" t="n"/>
      <c r="E4" s="61" t="inlineStr">
        <is>
          <t>ООО Компания</t>
        </is>
      </c>
      <c r="F4" s="12" t="n"/>
      <c r="G4" s="12" t="n"/>
      <c r="H4" s="61" t="inlineStr">
        <is>
          <t>1</t>
        </is>
      </c>
      <c r="I4" s="12" t="n"/>
      <c r="J4" s="61" t="inlineStr">
        <is>
          <t>01.04–07.04</t>
        </is>
      </c>
      <c r="K4" s="12" t="n"/>
      <c r="L4" s="12" t="n"/>
      <c r="M4" s="12" t="n"/>
      <c r="N4" s="61" t="inlineStr">
        <is>
          <t>Денис Матюшин</t>
        </is>
      </c>
      <c r="O4" s="12" t="n"/>
      <c r="P4" s="12" t="n"/>
      <c r="Q4" s="12" t="n"/>
      <c r="R4" s="12" t="n"/>
      <c r="S4" s="12" t="n"/>
      <c r="T4" s="12" t="n"/>
      <c r="U4" s="12" t="n"/>
      <c r="V4" s="12" t="n"/>
    </row>
    <row r="5" ht="6" customHeight="1"/>
    <row r="6" ht="20" customHeight="1">
      <c r="B6" s="62" t="inlineStr">
        <is>
          <t>Метрика</t>
        </is>
      </c>
      <c r="C6" s="63" t="inlineStr">
        <is>
          <t>ЗА МЕСЯЦ</t>
        </is>
      </c>
      <c r="D6" s="53" t="n"/>
      <c r="E6" s="54" t="n"/>
      <c r="G6" s="64" t="inlineStr">
        <is>
          <t>НЕДЕЛЯ 1</t>
        </is>
      </c>
      <c r="H6" s="53" t="n"/>
      <c r="I6" s="54" t="n"/>
      <c r="K6" s="64" t="inlineStr">
        <is>
          <t>НЕДЕЛЯ 2</t>
        </is>
      </c>
      <c r="L6" s="53" t="n"/>
      <c r="M6" s="54" t="n"/>
      <c r="O6" s="64" t="inlineStr">
        <is>
          <t>НЕДЕЛЯ 3</t>
        </is>
      </c>
      <c r="P6" s="53" t="n"/>
      <c r="Q6" s="54" t="n"/>
      <c r="S6" s="64" t="inlineStr">
        <is>
          <t>НЕДЕЛЯ 4</t>
        </is>
      </c>
      <c r="T6" s="53" t="n"/>
      <c r="U6" s="54" t="n"/>
    </row>
    <row r="7" ht="16" customHeight="1">
      <c r="B7" s="65" t="inlineStr"/>
      <c r="C7" s="66" t="inlineStr">
        <is>
          <t>ПЛАН</t>
        </is>
      </c>
      <c r="D7" s="66" t="inlineStr">
        <is>
          <t>ФАКТ</t>
        </is>
      </c>
      <c r="E7" s="66" t="inlineStr">
        <is>
          <t>%</t>
        </is>
      </c>
      <c r="G7" s="66" t="inlineStr">
        <is>
          <t>ПЛАН</t>
        </is>
      </c>
      <c r="H7" s="66" t="inlineStr">
        <is>
          <t>ФАКТ</t>
        </is>
      </c>
      <c r="I7" s="66" t="inlineStr">
        <is>
          <t>%</t>
        </is>
      </c>
      <c r="K7" s="66" t="inlineStr">
        <is>
          <t>ПЛАН</t>
        </is>
      </c>
      <c r="L7" s="66" t="inlineStr">
        <is>
          <t>ФАКТ</t>
        </is>
      </c>
      <c r="M7" s="66" t="inlineStr">
        <is>
          <t>%</t>
        </is>
      </c>
      <c r="O7" s="66" t="inlineStr">
        <is>
          <t>ПЛАН</t>
        </is>
      </c>
      <c r="P7" s="66" t="inlineStr">
        <is>
          <t>ФАКТ</t>
        </is>
      </c>
      <c r="Q7" s="66" t="inlineStr">
        <is>
          <t>%</t>
        </is>
      </c>
      <c r="S7" s="66" t="inlineStr">
        <is>
          <t>ПЛАН</t>
        </is>
      </c>
      <c r="T7" s="66" t="inlineStr">
        <is>
          <t>ФАКТ</t>
        </is>
      </c>
      <c r="U7" s="66" t="inlineStr">
        <is>
          <t>%</t>
        </is>
      </c>
    </row>
    <row r="8" ht="20" customHeight="1">
      <c r="B8" s="67" t="inlineStr">
        <is>
          <t>КЛЮЧЕВЫЕ KPI МЕСЯЦА — сводка</t>
        </is>
      </c>
      <c r="C8" s="53" t="n"/>
      <c r="D8" s="53" t="n"/>
      <c r="E8" s="53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4" t="n"/>
    </row>
    <row r="9" ht="22" customHeight="1">
      <c r="B9" s="68" t="inlineStr">
        <is>
          <t>Выручка / Бюджет (₽)</t>
        </is>
      </c>
      <c r="C9" s="69" t="n"/>
      <c r="D9" s="69">
        <f>Маркетинг!D8</f>
        <v/>
      </c>
      <c r="E9" s="70">
        <f>IFERROR(D9/C9,"")</f>
        <v/>
      </c>
      <c r="G9" s="69">
        <f>IFERROR(C9/4,"")</f>
        <v/>
      </c>
      <c r="H9" s="69" t="inlineStr"/>
      <c r="I9" s="70">
        <f>IFERROR(H9/G9,"")</f>
        <v/>
      </c>
      <c r="K9" s="69">
        <f>IFERROR(C9/4,"")</f>
        <v/>
      </c>
      <c r="L9" s="69" t="inlineStr"/>
      <c r="M9" s="70">
        <f>IFERROR(L9/K9,"")</f>
        <v/>
      </c>
      <c r="O9" s="69">
        <f>IFERROR(C9/4,"")</f>
        <v/>
      </c>
      <c r="P9" s="69" t="inlineStr"/>
      <c r="Q9" s="70">
        <f>IFERROR(P9/O9,"")</f>
        <v/>
      </c>
      <c r="S9" s="69">
        <f>IFERROR(C9/4,"")</f>
        <v/>
      </c>
      <c r="T9" s="69" t="inlineStr"/>
      <c r="U9" s="70">
        <f>IFERROR(T9/S9,"")</f>
        <v/>
      </c>
    </row>
    <row r="10" ht="22" customHeight="1">
      <c r="B10" s="71" t="inlineStr">
        <is>
          <t>Кол-во новых лидов</t>
        </is>
      </c>
      <c r="C10" s="72" t="n"/>
      <c r="D10" s="72">
        <f>Продажи!D6</f>
        <v/>
      </c>
      <c r="E10" s="73">
        <f>IFERROR(D10/C10,"")</f>
        <v/>
      </c>
      <c r="G10" s="72">
        <f>IFERROR(C10/4,"")</f>
        <v/>
      </c>
      <c r="H10" s="72" t="inlineStr"/>
      <c r="I10" s="73">
        <f>IFERROR(H10/G10,"")</f>
        <v/>
      </c>
      <c r="K10" s="72">
        <f>IFERROR(C10/4,"")</f>
        <v/>
      </c>
      <c r="L10" s="72" t="inlineStr"/>
      <c r="M10" s="73">
        <f>IFERROR(L10/K10,"")</f>
        <v/>
      </c>
      <c r="O10" s="72">
        <f>IFERROR(C10/4,"")</f>
        <v/>
      </c>
      <c r="P10" s="72" t="inlineStr"/>
      <c r="Q10" s="73">
        <f>IFERROR(P10/O10,"")</f>
        <v/>
      </c>
      <c r="S10" s="72">
        <f>IFERROR(C10/4,"")</f>
        <v/>
      </c>
      <c r="T10" s="72" t="inlineStr"/>
      <c r="U10" s="73">
        <f>IFERROR(T10/S10,"")</f>
        <v/>
      </c>
    </row>
    <row r="11" ht="22" customHeight="1">
      <c r="B11" s="68" t="inlineStr">
        <is>
          <t>Кол-во продаж</t>
        </is>
      </c>
      <c r="C11" s="69" t="n"/>
      <c r="D11" s="69">
        <f>Продажи!D10</f>
        <v/>
      </c>
      <c r="E11" s="70">
        <f>IFERROR(D11/C11,"")</f>
        <v/>
      </c>
      <c r="G11" s="69">
        <f>IFERROR(C11/4,"")</f>
        <v/>
      </c>
      <c r="H11" s="69" t="inlineStr"/>
      <c r="I11" s="70">
        <f>IFERROR(H11/G11,"")</f>
        <v/>
      </c>
      <c r="K11" s="69">
        <f>IFERROR(C11/4,"")</f>
        <v/>
      </c>
      <c r="L11" s="69" t="inlineStr"/>
      <c r="M11" s="70">
        <f>IFERROR(L11/K11,"")</f>
        <v/>
      </c>
      <c r="O11" s="69">
        <f>IFERROR(C11/4,"")</f>
        <v/>
      </c>
      <c r="P11" s="69" t="inlineStr"/>
      <c r="Q11" s="70">
        <f>IFERROR(P11/O11,"")</f>
        <v/>
      </c>
      <c r="S11" s="69">
        <f>IFERROR(C11/4,"")</f>
        <v/>
      </c>
      <c r="T11" s="69" t="inlineStr"/>
      <c r="U11" s="70">
        <f>IFERROR(T11/S11,"")</f>
        <v/>
      </c>
    </row>
    <row r="12" ht="22" customHeight="1">
      <c r="B12" s="71" t="inlineStr">
        <is>
          <t>Сумма продаж (₽)</t>
        </is>
      </c>
      <c r="C12" s="72" t="n"/>
      <c r="D12" s="72">
        <f>Продажи!D11</f>
        <v/>
      </c>
      <c r="E12" s="73">
        <f>IFERROR(D12/C12,"")</f>
        <v/>
      </c>
      <c r="G12" s="72">
        <f>IFERROR(C12/4,"")</f>
        <v/>
      </c>
      <c r="H12" s="72" t="inlineStr"/>
      <c r="I12" s="73">
        <f>IFERROR(H12/G12,"")</f>
        <v/>
      </c>
      <c r="K12" s="72">
        <f>IFERROR(C12/4,"")</f>
        <v/>
      </c>
      <c r="L12" s="72" t="inlineStr"/>
      <c r="M12" s="73">
        <f>IFERROR(L12/K12,"")</f>
        <v/>
      </c>
      <c r="O12" s="72">
        <f>IFERROR(C12/4,"")</f>
        <v/>
      </c>
      <c r="P12" s="72" t="inlineStr"/>
      <c r="Q12" s="73">
        <f>IFERROR(P12/O12,"")</f>
        <v/>
      </c>
      <c r="S12" s="72">
        <f>IFERROR(C12/4,"")</f>
        <v/>
      </c>
      <c r="T12" s="72" t="inlineStr"/>
      <c r="U12" s="73">
        <f>IFERROR(T12/S12,"")</f>
        <v/>
      </c>
    </row>
    <row r="13" ht="22" customHeight="1">
      <c r="B13" s="68" t="inlineStr">
        <is>
          <t>Стоимость лида (₽)</t>
        </is>
      </c>
      <c r="C13" s="69" t="n"/>
      <c r="D13" s="69">
        <f>IFERROR(D18/D32,"")</f>
        <v/>
      </c>
      <c r="E13" s="70">
        <f>IFERROR(D13/C13,"")</f>
        <v/>
      </c>
      <c r="G13" s="69">
        <f>IFERROR(C13/4,"")</f>
        <v/>
      </c>
      <c r="H13" s="69" t="inlineStr"/>
      <c r="I13" s="70">
        <f>IFERROR(H13/G13,"")</f>
        <v/>
      </c>
      <c r="K13" s="69">
        <f>IFERROR(C13/4,"")</f>
        <v/>
      </c>
      <c r="L13" s="69" t="inlineStr"/>
      <c r="M13" s="70">
        <f>IFERROR(L13/K13,"")</f>
        <v/>
      </c>
      <c r="O13" s="69">
        <f>IFERROR(C13/4,"")</f>
        <v/>
      </c>
      <c r="P13" s="69" t="inlineStr"/>
      <c r="Q13" s="70">
        <f>IFERROR(P13/O13,"")</f>
        <v/>
      </c>
      <c r="S13" s="69">
        <f>IFERROR(C13/4,"")</f>
        <v/>
      </c>
      <c r="T13" s="69" t="inlineStr"/>
      <c r="U13" s="70">
        <f>IFERROR(T13/S13,"")</f>
        <v/>
      </c>
    </row>
    <row r="14" ht="22" customHeight="1">
      <c r="B14" s="71" t="inlineStr">
        <is>
          <t>Стоимость клиента (₽)</t>
        </is>
      </c>
      <c r="C14" s="72" t="n"/>
      <c r="D14" s="72">
        <f>IFERROR(D18/D36,"")</f>
        <v/>
      </c>
      <c r="E14" s="73">
        <f>IFERROR(D14/C14,"")</f>
        <v/>
      </c>
      <c r="G14" s="72">
        <f>IFERROR(C14/4,"")</f>
        <v/>
      </c>
      <c r="H14" s="72" t="inlineStr"/>
      <c r="I14" s="73">
        <f>IFERROR(H14/G14,"")</f>
        <v/>
      </c>
      <c r="K14" s="72">
        <f>IFERROR(C14/4,"")</f>
        <v/>
      </c>
      <c r="L14" s="72" t="inlineStr"/>
      <c r="M14" s="73">
        <f>IFERROR(L14/K14,"")</f>
        <v/>
      </c>
      <c r="O14" s="72">
        <f>IFERROR(C14/4,"")</f>
        <v/>
      </c>
      <c r="P14" s="72" t="inlineStr"/>
      <c r="Q14" s="73">
        <f>IFERROR(P14/O14,"")</f>
        <v/>
      </c>
      <c r="S14" s="72">
        <f>IFERROR(C14/4,"")</f>
        <v/>
      </c>
      <c r="T14" s="72" t="inlineStr"/>
      <c r="U14" s="73">
        <f>IFERROR(T14/S14,"")</f>
        <v/>
      </c>
    </row>
    <row r="15" ht="22" customHeight="1">
      <c r="B15" s="68" t="inlineStr">
        <is>
          <t>Средний чек (₽)</t>
        </is>
      </c>
      <c r="C15" s="69" t="n"/>
      <c r="D15" s="69">
        <f>IFERROR(D37/D36,"")</f>
        <v/>
      </c>
      <c r="E15" s="70">
        <f>IFERROR(D15/C15,"")</f>
        <v/>
      </c>
      <c r="G15" s="69">
        <f>IFERROR(C15/4,"")</f>
        <v/>
      </c>
      <c r="H15" s="69" t="inlineStr"/>
      <c r="I15" s="70">
        <f>IFERROR(H15/G15,"")</f>
        <v/>
      </c>
      <c r="K15" s="69">
        <f>IFERROR(C15/4,"")</f>
        <v/>
      </c>
      <c r="L15" s="69" t="inlineStr"/>
      <c r="M15" s="70">
        <f>IFERROR(L15/K15,"")</f>
        <v/>
      </c>
      <c r="O15" s="69">
        <f>IFERROR(C15/4,"")</f>
        <v/>
      </c>
      <c r="P15" s="69" t="inlineStr"/>
      <c r="Q15" s="70">
        <f>IFERROR(P15/O15,"")</f>
        <v/>
      </c>
      <c r="S15" s="69">
        <f>IFERROR(C15/4,"")</f>
        <v/>
      </c>
      <c r="T15" s="69" t="inlineStr"/>
      <c r="U15" s="70">
        <f>IFERROR(T15/S15,"")</f>
        <v/>
      </c>
    </row>
    <row r="16" ht="6" customHeight="1"/>
    <row r="17" ht="20" customHeight="1">
      <c r="B17" s="52" t="inlineStr">
        <is>
          <t>МАРКЕТИНГ — бюджет и каналы</t>
        </is>
      </c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4" t="n"/>
    </row>
    <row r="18" ht="22" customHeight="1">
      <c r="B18" s="68" t="inlineStr">
        <is>
          <t>Суммарный маркетинговый бюджет (₽)</t>
        </is>
      </c>
      <c r="C18" s="69" t="n"/>
      <c r="D18" s="69">
        <f>Маркетинг!D8</f>
        <v/>
      </c>
      <c r="E18" s="70">
        <f>IFERROR(D18/C18,"")</f>
        <v/>
      </c>
      <c r="G18" s="69">
        <f>IFERROR(C18/4,"")</f>
        <v/>
      </c>
      <c r="H18" s="69" t="inlineStr"/>
      <c r="I18" s="70">
        <f>IFERROR(H18/G18,"")</f>
        <v/>
      </c>
      <c r="K18" s="69">
        <f>IFERROR(C18/4,"")</f>
        <v/>
      </c>
      <c r="L18" s="69" t="inlineStr"/>
      <c r="M18" s="70">
        <f>IFERROR(L18/K18,"")</f>
        <v/>
      </c>
      <c r="O18" s="69">
        <f>IFERROR(C18/4,"")</f>
        <v/>
      </c>
      <c r="P18" s="69" t="inlineStr"/>
      <c r="Q18" s="70">
        <f>IFERROR(P18/O18,"")</f>
        <v/>
      </c>
      <c r="S18" s="69">
        <f>IFERROR(C18/4,"")</f>
        <v/>
      </c>
      <c r="T18" s="69" t="inlineStr"/>
      <c r="U18" s="70">
        <f>IFERROR(T18/S18,"")</f>
        <v/>
      </c>
    </row>
    <row r="19" ht="22" customHeight="1">
      <c r="B19" s="71" t="inlineStr">
        <is>
          <t>Стоимость лида — общая (₽)</t>
        </is>
      </c>
      <c r="C19" s="72" t="n"/>
      <c r="D19" s="72">
        <f>IFERROR(H19+L19+P19+T19,"")</f>
        <v/>
      </c>
      <c r="E19" s="73">
        <f>IFERROR(D19/C19,"")</f>
        <v/>
      </c>
      <c r="G19" s="72">
        <f>IFERROR(C19/4,"")</f>
        <v/>
      </c>
      <c r="H19" s="72" t="inlineStr"/>
      <c r="I19" s="73">
        <f>IFERROR(H19/G19,"")</f>
        <v/>
      </c>
      <c r="K19" s="72">
        <f>IFERROR(C19/4,"")</f>
        <v/>
      </c>
      <c r="L19" s="72" t="inlineStr"/>
      <c r="M19" s="73">
        <f>IFERROR(L19/K19,"")</f>
        <v/>
      </c>
      <c r="O19" s="72">
        <f>IFERROR(C19/4,"")</f>
        <v/>
      </c>
      <c r="P19" s="72" t="inlineStr"/>
      <c r="Q19" s="73">
        <f>IFERROR(P19/O19,"")</f>
        <v/>
      </c>
      <c r="S19" s="72">
        <f>IFERROR(C19/4,"")</f>
        <v/>
      </c>
      <c r="T19" s="72" t="inlineStr"/>
      <c r="U19" s="73">
        <f>IFERROR(T19/S19,"")</f>
        <v/>
      </c>
    </row>
    <row r="20" ht="22" customHeight="1">
      <c r="B20" s="68" t="inlineStr">
        <is>
          <t>Стоимость клиента — общая (₽)</t>
        </is>
      </c>
      <c r="C20" s="69" t="n"/>
      <c r="D20" s="69">
        <f>IFERROR(H20+L20+P20+T20,"")</f>
        <v/>
      </c>
      <c r="E20" s="70">
        <f>IFERROR(D20/C20,"")</f>
        <v/>
      </c>
      <c r="G20" s="69">
        <f>IFERROR(C20/4,"")</f>
        <v/>
      </c>
      <c r="H20" s="69" t="inlineStr"/>
      <c r="I20" s="70">
        <f>IFERROR(H20/G20,"")</f>
        <v/>
      </c>
      <c r="K20" s="69">
        <f>IFERROR(C20/4,"")</f>
        <v/>
      </c>
      <c r="L20" s="69" t="inlineStr"/>
      <c r="M20" s="70">
        <f>IFERROR(L20/K20,"")</f>
        <v/>
      </c>
      <c r="O20" s="69">
        <f>IFERROR(C20/4,"")</f>
        <v/>
      </c>
      <c r="P20" s="69" t="inlineStr"/>
      <c r="Q20" s="70">
        <f>IFERROR(P20/O20,"")</f>
        <v/>
      </c>
      <c r="S20" s="69">
        <f>IFERROR(C20/4,"")</f>
        <v/>
      </c>
      <c r="T20" s="69" t="inlineStr"/>
      <c r="U20" s="70">
        <f>IFERROR(T20/S20,"")</f>
        <v/>
      </c>
    </row>
    <row r="21" ht="22" customHeight="1">
      <c r="B21" s="71" t="inlineStr">
        <is>
          <t xml:space="preserve">    Лиды из Telegram-канала</t>
        </is>
      </c>
      <c r="C21" s="72" t="n"/>
      <c r="D21" s="72">
        <f>Маркетинг!D18</f>
        <v/>
      </c>
      <c r="E21" s="73">
        <f>IFERROR(D21/C21,"")</f>
        <v/>
      </c>
      <c r="G21" s="72">
        <f>IFERROR(C21/4,"")</f>
        <v/>
      </c>
      <c r="H21" s="72" t="inlineStr"/>
      <c r="I21" s="73">
        <f>IFERROR(H21/G21,"")</f>
        <v/>
      </c>
      <c r="K21" s="72">
        <f>IFERROR(C21/4,"")</f>
        <v/>
      </c>
      <c r="L21" s="72" t="inlineStr"/>
      <c r="M21" s="73">
        <f>IFERROR(L21/K21,"")</f>
        <v/>
      </c>
      <c r="O21" s="72">
        <f>IFERROR(C21/4,"")</f>
        <v/>
      </c>
      <c r="P21" s="72" t="inlineStr"/>
      <c r="Q21" s="73">
        <f>IFERROR(P21/O21,"")</f>
        <v/>
      </c>
      <c r="S21" s="72">
        <f>IFERROR(C21/4,"")</f>
        <v/>
      </c>
      <c r="T21" s="72" t="inlineStr"/>
      <c r="U21" s="73">
        <f>IFERROR(T21/S21,"")</f>
        <v/>
      </c>
    </row>
    <row r="22" ht="22" customHeight="1">
      <c r="B22" s="68" t="inlineStr">
        <is>
          <t xml:space="preserve">    Лиды из Instagram / посевов</t>
        </is>
      </c>
      <c r="C22" s="69" t="n"/>
      <c r="D22" s="69">
        <f>Маркетинг!D18</f>
        <v/>
      </c>
      <c r="E22" s="70">
        <f>IFERROR(D22/C22,"")</f>
        <v/>
      </c>
      <c r="G22" s="69">
        <f>IFERROR(C22/4,"")</f>
        <v/>
      </c>
      <c r="H22" s="69" t="inlineStr"/>
      <c r="I22" s="70">
        <f>IFERROR(H22/G22,"")</f>
        <v/>
      </c>
      <c r="K22" s="69">
        <f>IFERROR(C22/4,"")</f>
        <v/>
      </c>
      <c r="L22" s="69" t="inlineStr"/>
      <c r="M22" s="70">
        <f>IFERROR(L22/K22,"")</f>
        <v/>
      </c>
      <c r="O22" s="69">
        <f>IFERROR(C22/4,"")</f>
        <v/>
      </c>
      <c r="P22" s="69" t="inlineStr"/>
      <c r="Q22" s="70">
        <f>IFERROR(P22/O22,"")</f>
        <v/>
      </c>
      <c r="S22" s="69">
        <f>IFERROR(C22/4,"")</f>
        <v/>
      </c>
      <c r="T22" s="69" t="inlineStr"/>
      <c r="U22" s="70">
        <f>IFERROR(T22/S22,"")</f>
        <v/>
      </c>
    </row>
    <row r="23" ht="22" customHeight="1">
      <c r="B23" s="71" t="inlineStr">
        <is>
          <t xml:space="preserve">    Лиды из YouTube</t>
        </is>
      </c>
      <c r="C23" s="72" t="n"/>
      <c r="D23" s="72">
        <f>IFERROR(H23+L23+P23+T23,"")</f>
        <v/>
      </c>
      <c r="E23" s="73">
        <f>IFERROR(D23/C23,"")</f>
        <v/>
      </c>
      <c r="G23" s="72">
        <f>IFERROR(C23/4,"")</f>
        <v/>
      </c>
      <c r="H23" s="72" t="inlineStr"/>
      <c r="I23" s="73">
        <f>IFERROR(H23/G23,"")</f>
        <v/>
      </c>
      <c r="K23" s="72">
        <f>IFERROR(C23/4,"")</f>
        <v/>
      </c>
      <c r="L23" s="72" t="inlineStr"/>
      <c r="M23" s="73">
        <f>IFERROR(L23/K23,"")</f>
        <v/>
      </c>
      <c r="O23" s="72">
        <f>IFERROR(C23/4,"")</f>
        <v/>
      </c>
      <c r="P23" s="72" t="inlineStr"/>
      <c r="Q23" s="73">
        <f>IFERROR(P23/O23,"")</f>
        <v/>
      </c>
      <c r="S23" s="72">
        <f>IFERROR(C23/4,"")</f>
        <v/>
      </c>
      <c r="T23" s="72" t="inlineStr"/>
      <c r="U23" s="73">
        <f>IFERROR(T23/S23,"")</f>
        <v/>
      </c>
    </row>
    <row r="24" ht="22" customHeight="1">
      <c r="B24" s="68" t="inlineStr">
        <is>
          <t xml:space="preserve">    Лиды из Авито</t>
        </is>
      </c>
      <c r="C24" s="69" t="n"/>
      <c r="D24" s="69">
        <f>IFERROR(H24+L24+P24+T24,"")</f>
        <v/>
      </c>
      <c r="E24" s="70">
        <f>IFERROR(D24/C24,"")</f>
        <v/>
      </c>
      <c r="G24" s="69">
        <f>IFERROR(C24/4,"")</f>
        <v/>
      </c>
      <c r="H24" s="69" t="inlineStr"/>
      <c r="I24" s="70">
        <f>IFERROR(H24/G24,"")</f>
        <v/>
      </c>
      <c r="K24" s="69">
        <f>IFERROR(C24/4,"")</f>
        <v/>
      </c>
      <c r="L24" s="69" t="inlineStr"/>
      <c r="M24" s="70">
        <f>IFERROR(L24/K24,"")</f>
        <v/>
      </c>
      <c r="O24" s="69">
        <f>IFERROR(C24/4,"")</f>
        <v/>
      </c>
      <c r="P24" s="69" t="inlineStr"/>
      <c r="Q24" s="70">
        <f>IFERROR(P24/O24,"")</f>
        <v/>
      </c>
      <c r="S24" s="69">
        <f>IFERROR(C24/4,"")</f>
        <v/>
      </c>
      <c r="T24" s="69" t="inlineStr"/>
      <c r="U24" s="70">
        <f>IFERROR(T24/S24,"")</f>
        <v/>
      </c>
    </row>
    <row r="25" ht="22" customHeight="1">
      <c r="B25" s="71" t="inlineStr">
        <is>
          <t xml:space="preserve">    Лиды по рекомендации</t>
        </is>
      </c>
      <c r="C25" s="72" t="n"/>
      <c r="D25" s="72">
        <f>IFERROR(H25+L25+P25+T25,"")</f>
        <v/>
      </c>
      <c r="E25" s="73">
        <f>IFERROR(D25/C25,"")</f>
        <v/>
      </c>
      <c r="G25" s="72">
        <f>IFERROR(C25/4,"")</f>
        <v/>
      </c>
      <c r="H25" s="72" t="inlineStr"/>
      <c r="I25" s="73">
        <f>IFERROR(H25/G25,"")</f>
        <v/>
      </c>
      <c r="K25" s="72">
        <f>IFERROR(C25/4,"")</f>
        <v/>
      </c>
      <c r="L25" s="72" t="inlineStr"/>
      <c r="M25" s="73">
        <f>IFERROR(L25/K25,"")</f>
        <v/>
      </c>
      <c r="O25" s="72">
        <f>IFERROR(C25/4,"")</f>
        <v/>
      </c>
      <c r="P25" s="72" t="inlineStr"/>
      <c r="Q25" s="73">
        <f>IFERROR(P25/O25,"")</f>
        <v/>
      </c>
      <c r="S25" s="72">
        <f>IFERROR(C25/4,"")</f>
        <v/>
      </c>
      <c r="T25" s="72" t="inlineStr"/>
      <c r="U25" s="73">
        <f>IFERROR(T25/S25,"")</f>
        <v/>
      </c>
    </row>
    <row r="26" ht="22" customHeight="1">
      <c r="B26" s="68" t="inlineStr">
        <is>
          <t xml:space="preserve">    Лиды — другой канал</t>
        </is>
      </c>
      <c r="C26" s="69" t="n"/>
      <c r="D26" s="69">
        <f>IFERROR(H26+L26+P26+T26,"")</f>
        <v/>
      </c>
      <c r="E26" s="70">
        <f>IFERROR(D26/C26,"")</f>
        <v/>
      </c>
      <c r="G26" s="69">
        <f>IFERROR(C26/4,"")</f>
        <v/>
      </c>
      <c r="H26" s="69" t="inlineStr"/>
      <c r="I26" s="70">
        <f>IFERROR(H26/G26,"")</f>
        <v/>
      </c>
      <c r="K26" s="69">
        <f>IFERROR(C26/4,"")</f>
        <v/>
      </c>
      <c r="L26" s="69" t="inlineStr"/>
      <c r="M26" s="70">
        <f>IFERROR(L26/K26,"")</f>
        <v/>
      </c>
      <c r="O26" s="69">
        <f>IFERROR(C26/4,"")</f>
        <v/>
      </c>
      <c r="P26" s="69" t="inlineStr"/>
      <c r="Q26" s="70">
        <f>IFERROR(P26/O26,"")</f>
        <v/>
      </c>
      <c r="S26" s="69">
        <f>IFERROR(C26/4,"")</f>
        <v/>
      </c>
      <c r="T26" s="69" t="inlineStr"/>
      <c r="U26" s="70">
        <f>IFERROR(T26/S26,"")</f>
        <v/>
      </c>
    </row>
    <row r="27" ht="22" customHeight="1">
      <c r="B27" s="71" t="inlineStr">
        <is>
          <t>Контентные единицы (шт. постов/видео)</t>
        </is>
      </c>
      <c r="C27" s="72" t="n"/>
      <c r="D27" s="72">
        <f>Маркетинг!D32</f>
        <v/>
      </c>
      <c r="E27" s="73">
        <f>IFERROR(D27/C27,"")</f>
        <v/>
      </c>
      <c r="G27" s="72">
        <f>IFERROR(C27/4,"")</f>
        <v/>
      </c>
      <c r="H27" s="72" t="inlineStr"/>
      <c r="I27" s="73">
        <f>IFERROR(H27/G27,"")</f>
        <v/>
      </c>
      <c r="K27" s="72">
        <f>IFERROR(C27/4,"")</f>
        <v/>
      </c>
      <c r="L27" s="72" t="inlineStr"/>
      <c r="M27" s="73">
        <f>IFERROR(L27/K27,"")</f>
        <v/>
      </c>
      <c r="O27" s="72">
        <f>IFERROR(C27/4,"")</f>
        <v/>
      </c>
      <c r="P27" s="72" t="inlineStr"/>
      <c r="Q27" s="73">
        <f>IFERROR(P27/O27,"")</f>
        <v/>
      </c>
      <c r="S27" s="72">
        <f>IFERROR(C27/4,"")</f>
        <v/>
      </c>
      <c r="T27" s="72" t="inlineStr"/>
      <c r="U27" s="73">
        <f>IFERROR(T27/S27,"")</f>
        <v/>
      </c>
    </row>
    <row r="28" ht="22" customHeight="1">
      <c r="B28" s="68" t="inlineStr">
        <is>
          <t>Подписчики Telegram (накопительно)</t>
        </is>
      </c>
      <c r="C28" s="69" t="n"/>
      <c r="D28" s="69">
        <f>IFERROR(H28+L28+P28+T28,"")</f>
        <v/>
      </c>
      <c r="E28" s="70">
        <f>IFERROR(D28/C28,"")</f>
        <v/>
      </c>
      <c r="G28" s="69">
        <f>IFERROR(C28/4,"")</f>
        <v/>
      </c>
      <c r="H28" s="69" t="inlineStr"/>
      <c r="I28" s="70">
        <f>IFERROR(H28/G28,"")</f>
        <v/>
      </c>
      <c r="K28" s="69">
        <f>IFERROR(C28/4,"")</f>
        <v/>
      </c>
      <c r="L28" s="69" t="inlineStr"/>
      <c r="M28" s="70">
        <f>IFERROR(L28/K28,"")</f>
        <v/>
      </c>
      <c r="O28" s="69">
        <f>IFERROR(C28/4,"")</f>
        <v/>
      </c>
      <c r="P28" s="69" t="inlineStr"/>
      <c r="Q28" s="70">
        <f>IFERROR(P28/O28,"")</f>
        <v/>
      </c>
      <c r="S28" s="69">
        <f>IFERROR(C28/4,"")</f>
        <v/>
      </c>
      <c r="T28" s="69" t="inlineStr"/>
      <c r="U28" s="70">
        <f>IFERROR(T28/S28,"")</f>
        <v/>
      </c>
    </row>
    <row r="29" ht="22" customHeight="1">
      <c r="B29" s="71" t="inlineStr">
        <is>
          <t>Прирост подписчиков за неделю</t>
        </is>
      </c>
      <c r="C29" s="72" t="n"/>
      <c r="D29" s="72">
        <f>IFERROR(H29+L29+P29+T29,"")</f>
        <v/>
      </c>
      <c r="E29" s="73">
        <f>IFERROR(D29/C29,"")</f>
        <v/>
      </c>
      <c r="G29" s="72">
        <f>IFERROR(C29/4,"")</f>
        <v/>
      </c>
      <c r="H29" s="72" t="inlineStr"/>
      <c r="I29" s="73">
        <f>IFERROR(H29/G29,"")</f>
        <v/>
      </c>
      <c r="K29" s="72">
        <f>IFERROR(C29/4,"")</f>
        <v/>
      </c>
      <c r="L29" s="72" t="inlineStr"/>
      <c r="M29" s="73">
        <f>IFERROR(L29/K29,"")</f>
        <v/>
      </c>
      <c r="O29" s="72">
        <f>IFERROR(C29/4,"")</f>
        <v/>
      </c>
      <c r="P29" s="72" t="inlineStr"/>
      <c r="Q29" s="73">
        <f>IFERROR(P29/O29,"")</f>
        <v/>
      </c>
      <c r="S29" s="72">
        <f>IFERROR(C29/4,"")</f>
        <v/>
      </c>
      <c r="T29" s="72" t="inlineStr"/>
      <c r="U29" s="73">
        <f>IFERROR(T29/S29,"")</f>
        <v/>
      </c>
    </row>
    <row r="30" ht="6" customHeight="1"/>
    <row r="31" ht="20" customHeight="1">
      <c r="B31" s="52" t="inlineStr">
        <is>
          <t>ВОРОНКА ПРОДАЖ</t>
        </is>
      </c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4" t="n"/>
    </row>
    <row r="32" ht="22" customHeight="1">
      <c r="B32" s="68" t="inlineStr">
        <is>
          <t>Всего новых лидов (шт.)</t>
        </is>
      </c>
      <c r="C32" s="69" t="n"/>
      <c r="D32" s="69">
        <f>Продажи!D6</f>
        <v/>
      </c>
      <c r="E32" s="70">
        <f>IFERROR(D32/C32,"")</f>
        <v/>
      </c>
      <c r="G32" s="69">
        <f>IFERROR(C32/4,"")</f>
        <v/>
      </c>
      <c r="H32" s="69" t="inlineStr"/>
      <c r="I32" s="70">
        <f>IFERROR(H32/G32,"")</f>
        <v/>
      </c>
      <c r="K32" s="69">
        <f>IFERROR(C32/4,"")</f>
        <v/>
      </c>
      <c r="L32" s="69" t="inlineStr"/>
      <c r="M32" s="70">
        <f>IFERROR(L32/K32,"")</f>
        <v/>
      </c>
      <c r="O32" s="69">
        <f>IFERROR(C32/4,"")</f>
        <v/>
      </c>
      <c r="P32" s="69" t="inlineStr"/>
      <c r="Q32" s="70">
        <f>IFERROR(P32/O32,"")</f>
        <v/>
      </c>
      <c r="S32" s="69">
        <f>IFERROR(C32/4,"")</f>
        <v/>
      </c>
      <c r="T32" s="69" t="inlineStr"/>
      <c r="U32" s="70">
        <f>IFERROR(T32/S32,"")</f>
        <v/>
      </c>
    </row>
    <row r="33" ht="22" customHeight="1">
      <c r="B33" s="71" t="inlineStr">
        <is>
          <t>КП / предложение отправлено (шт.)</t>
        </is>
      </c>
      <c r="C33" s="72" t="n"/>
      <c r="D33" s="72">
        <f>Продажи!D7</f>
        <v/>
      </c>
      <c r="E33" s="73">
        <f>IFERROR(D33/C33,"")</f>
        <v/>
      </c>
      <c r="G33" s="72">
        <f>IFERROR(C33/4,"")</f>
        <v/>
      </c>
      <c r="H33" s="72" t="inlineStr"/>
      <c r="I33" s="73">
        <f>IFERROR(H33/G33,"")</f>
        <v/>
      </c>
      <c r="K33" s="72">
        <f>IFERROR(C33/4,"")</f>
        <v/>
      </c>
      <c r="L33" s="72" t="inlineStr"/>
      <c r="M33" s="73">
        <f>IFERROR(L33/K33,"")</f>
        <v/>
      </c>
      <c r="O33" s="72">
        <f>IFERROR(C33/4,"")</f>
        <v/>
      </c>
      <c r="P33" s="72" t="inlineStr"/>
      <c r="Q33" s="73">
        <f>IFERROR(P33/O33,"")</f>
        <v/>
      </c>
      <c r="S33" s="72">
        <f>IFERROR(C33/4,"")</f>
        <v/>
      </c>
      <c r="T33" s="72" t="inlineStr"/>
      <c r="U33" s="73">
        <f>IFERROR(T33/S33,"")</f>
        <v/>
      </c>
    </row>
    <row r="34" ht="22" customHeight="1">
      <c r="B34" s="68" t="inlineStr">
        <is>
          <t>Назначено встреч (шт.)</t>
        </is>
      </c>
      <c r="C34" s="69" t="n"/>
      <c r="D34" s="69">
        <f>Продажи!D8</f>
        <v/>
      </c>
      <c r="E34" s="70">
        <f>IFERROR(D34/C34,"")</f>
        <v/>
      </c>
      <c r="G34" s="69">
        <f>IFERROR(C34/4,"")</f>
        <v/>
      </c>
      <c r="H34" s="69" t="inlineStr"/>
      <c r="I34" s="70">
        <f>IFERROR(H34/G34,"")</f>
        <v/>
      </c>
      <c r="K34" s="69">
        <f>IFERROR(C34/4,"")</f>
        <v/>
      </c>
      <c r="L34" s="69" t="inlineStr"/>
      <c r="M34" s="70">
        <f>IFERROR(L34/K34,"")</f>
        <v/>
      </c>
      <c r="O34" s="69">
        <f>IFERROR(C34/4,"")</f>
        <v/>
      </c>
      <c r="P34" s="69" t="inlineStr"/>
      <c r="Q34" s="70">
        <f>IFERROR(P34/O34,"")</f>
        <v/>
      </c>
      <c r="S34" s="69">
        <f>IFERROR(C34/4,"")</f>
        <v/>
      </c>
      <c r="T34" s="69" t="inlineStr"/>
      <c r="U34" s="70">
        <f>IFERROR(T34/S34,"")</f>
        <v/>
      </c>
    </row>
    <row r="35" ht="22" customHeight="1">
      <c r="B35" s="71" t="inlineStr">
        <is>
          <t>Проведено встреч (шт.)</t>
        </is>
      </c>
      <c r="C35" s="72" t="n"/>
      <c r="D35" s="72">
        <f>Продажи!D9</f>
        <v/>
      </c>
      <c r="E35" s="73">
        <f>IFERROR(D35/C35,"")</f>
        <v/>
      </c>
      <c r="G35" s="72">
        <f>IFERROR(C35/4,"")</f>
        <v/>
      </c>
      <c r="H35" s="72" t="inlineStr"/>
      <c r="I35" s="73">
        <f>IFERROR(H35/G35,"")</f>
        <v/>
      </c>
      <c r="K35" s="72">
        <f>IFERROR(C35/4,"")</f>
        <v/>
      </c>
      <c r="L35" s="72" t="inlineStr"/>
      <c r="M35" s="73">
        <f>IFERROR(L35/K35,"")</f>
        <v/>
      </c>
      <c r="O35" s="72">
        <f>IFERROR(C35/4,"")</f>
        <v/>
      </c>
      <c r="P35" s="72" t="inlineStr"/>
      <c r="Q35" s="73">
        <f>IFERROR(P35/O35,"")</f>
        <v/>
      </c>
      <c r="S35" s="72">
        <f>IFERROR(C35/4,"")</f>
        <v/>
      </c>
      <c r="T35" s="72" t="inlineStr"/>
      <c r="U35" s="73">
        <f>IFERROR(T35/S35,"")</f>
        <v/>
      </c>
    </row>
    <row r="36" ht="22" customHeight="1">
      <c r="B36" s="68" t="inlineStr">
        <is>
          <t>Количество продаж (шт.)</t>
        </is>
      </c>
      <c r="C36" s="69" t="n"/>
      <c r="D36" s="69">
        <f>Продажи!D10</f>
        <v/>
      </c>
      <c r="E36" s="70">
        <f>IFERROR(D36/C36,"")</f>
        <v/>
      </c>
      <c r="G36" s="69">
        <f>IFERROR(C36/4,"")</f>
        <v/>
      </c>
      <c r="H36" s="69" t="inlineStr"/>
      <c r="I36" s="70">
        <f>IFERROR(H36/G36,"")</f>
        <v/>
      </c>
      <c r="K36" s="69">
        <f>IFERROR(C36/4,"")</f>
        <v/>
      </c>
      <c r="L36" s="69" t="inlineStr"/>
      <c r="M36" s="70">
        <f>IFERROR(L36/K36,"")</f>
        <v/>
      </c>
      <c r="O36" s="69">
        <f>IFERROR(C36/4,"")</f>
        <v/>
      </c>
      <c r="P36" s="69" t="inlineStr"/>
      <c r="Q36" s="70">
        <f>IFERROR(P36/O36,"")</f>
        <v/>
      </c>
      <c r="S36" s="69">
        <f>IFERROR(C36/4,"")</f>
        <v/>
      </c>
      <c r="T36" s="69" t="inlineStr"/>
      <c r="U36" s="70">
        <f>IFERROR(T36/S36,"")</f>
        <v/>
      </c>
    </row>
    <row r="37" ht="22" customHeight="1">
      <c r="B37" s="71" t="inlineStr">
        <is>
          <t>Сумма продаж (₽)</t>
        </is>
      </c>
      <c r="C37" s="72" t="n"/>
      <c r="D37" s="72">
        <f>Продажи!D11</f>
        <v/>
      </c>
      <c r="E37" s="73">
        <f>IFERROR(D37/C37,"")</f>
        <v/>
      </c>
      <c r="G37" s="72">
        <f>IFERROR(C37/4,"")</f>
        <v/>
      </c>
      <c r="H37" s="72" t="inlineStr"/>
      <c r="I37" s="73">
        <f>IFERROR(H37/G37,"")</f>
        <v/>
      </c>
      <c r="K37" s="72">
        <f>IFERROR(C37/4,"")</f>
        <v/>
      </c>
      <c r="L37" s="72" t="inlineStr"/>
      <c r="M37" s="73">
        <f>IFERROR(L37/K37,"")</f>
        <v/>
      </c>
      <c r="O37" s="72">
        <f>IFERROR(C37/4,"")</f>
        <v/>
      </c>
      <c r="P37" s="72" t="inlineStr"/>
      <c r="Q37" s="73">
        <f>IFERROR(P37/O37,"")</f>
        <v/>
      </c>
      <c r="S37" s="72">
        <f>IFERROR(C37/4,"")</f>
        <v/>
      </c>
      <c r="T37" s="72" t="inlineStr"/>
      <c r="U37" s="73">
        <f>IFERROR(T37/S37,"")</f>
        <v/>
      </c>
    </row>
    <row r="38" ht="22" customHeight="1">
      <c r="B38" s="68" t="inlineStr">
        <is>
          <t>Средний чек (₽)</t>
        </is>
      </c>
      <c r="C38" s="69" t="n"/>
      <c r="D38" s="69">
        <f>Продажи!D12</f>
        <v/>
      </c>
      <c r="E38" s="70">
        <f>IFERROR(D38/C38,"")</f>
        <v/>
      </c>
      <c r="G38" s="69">
        <f>IFERROR(C38/4,"")</f>
        <v/>
      </c>
      <c r="H38" s="69" t="inlineStr"/>
      <c r="I38" s="70">
        <f>IFERROR(H38/G38,"")</f>
        <v/>
      </c>
      <c r="K38" s="69">
        <f>IFERROR(C38/4,"")</f>
        <v/>
      </c>
      <c r="L38" s="69" t="inlineStr"/>
      <c r="M38" s="70">
        <f>IFERROR(L38/K38,"")</f>
        <v/>
      </c>
      <c r="O38" s="69">
        <f>IFERROR(C38/4,"")</f>
        <v/>
      </c>
      <c r="P38" s="69" t="inlineStr"/>
      <c r="Q38" s="70">
        <f>IFERROR(P38/O38,"")</f>
        <v/>
      </c>
      <c r="S38" s="69">
        <f>IFERROR(C38/4,"")</f>
        <v/>
      </c>
      <c r="T38" s="69" t="inlineStr"/>
      <c r="U38" s="70">
        <f>IFERROR(T38/S38,"")</f>
        <v/>
      </c>
    </row>
    <row r="39" ht="6" customHeight="1"/>
    <row r="40" ht="20" customHeight="1">
      <c r="B40" s="67" t="inlineStr">
        <is>
          <t>КОНВЕРСИИ ВОРОНКИ (авто-расчёт)</t>
        </is>
      </c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4" t="n"/>
    </row>
    <row r="41" ht="22" customHeight="1">
      <c r="B41" s="68" t="inlineStr">
        <is>
          <t>CV лид → КП (%)</t>
        </is>
      </c>
      <c r="C41" s="74">
        <f>IFERROR(C33/C32,"")</f>
        <v/>
      </c>
      <c r="D41" s="74">
        <f>IFERROR(D33/D32,"")</f>
        <v/>
      </c>
      <c r="E41" s="70">
        <f>IFERROR(D41/C41,"")</f>
        <v/>
      </c>
      <c r="G41" s="74">
        <f>IFERROR(G33/G32,"")</f>
        <v/>
      </c>
      <c r="H41" s="74">
        <f>IFERROR(H33/H32,"")</f>
        <v/>
      </c>
      <c r="I41" s="70">
        <f>IFERROR(H41/G41,"")</f>
        <v/>
      </c>
      <c r="K41" s="74">
        <f>IFERROR(K33/K32,"")</f>
        <v/>
      </c>
      <c r="L41" s="74">
        <f>IFERROR(L33/L32,"")</f>
        <v/>
      </c>
      <c r="M41" s="70">
        <f>IFERROR(L41/K41,"")</f>
        <v/>
      </c>
      <c r="O41" s="74">
        <f>IFERROR(O33/O32,"")</f>
        <v/>
      </c>
      <c r="P41" s="74">
        <f>IFERROR(P33/P32,"")</f>
        <v/>
      </c>
      <c r="Q41" s="70">
        <f>IFERROR(P41/O41,"")</f>
        <v/>
      </c>
      <c r="S41" s="74">
        <f>IFERROR(S33/S32,"")</f>
        <v/>
      </c>
      <c r="T41" s="74">
        <f>IFERROR(T33/T32,"")</f>
        <v/>
      </c>
      <c r="U41" s="70">
        <f>IFERROR(T41/S41,"")</f>
        <v/>
      </c>
    </row>
    <row r="42" ht="22" customHeight="1">
      <c r="B42" s="71" t="inlineStr">
        <is>
          <t>CV КП → встреча (%)</t>
        </is>
      </c>
      <c r="C42" s="75">
        <f>IFERROR(C35/C33,"")</f>
        <v/>
      </c>
      <c r="D42" s="75">
        <f>IFERROR(D35/D33,"")</f>
        <v/>
      </c>
      <c r="E42" s="73">
        <f>IFERROR(D42/C42,"")</f>
        <v/>
      </c>
      <c r="G42" s="75">
        <f>IFERROR(G35/G33,"")</f>
        <v/>
      </c>
      <c r="H42" s="75">
        <f>IFERROR(H35/H33,"")</f>
        <v/>
      </c>
      <c r="I42" s="73">
        <f>IFERROR(H42/G42,"")</f>
        <v/>
      </c>
      <c r="K42" s="75">
        <f>IFERROR(K35/K33,"")</f>
        <v/>
      </c>
      <c r="L42" s="75">
        <f>IFERROR(L35/L33,"")</f>
        <v/>
      </c>
      <c r="M42" s="73">
        <f>IFERROR(L42/K42,"")</f>
        <v/>
      </c>
      <c r="O42" s="75">
        <f>IFERROR(O35/O33,"")</f>
        <v/>
      </c>
      <c r="P42" s="75">
        <f>IFERROR(P35/P33,"")</f>
        <v/>
      </c>
      <c r="Q42" s="73">
        <f>IFERROR(P42/O42,"")</f>
        <v/>
      </c>
      <c r="S42" s="75">
        <f>IFERROR(S35/S33,"")</f>
        <v/>
      </c>
      <c r="T42" s="75">
        <f>IFERROR(T35/T33,"")</f>
        <v/>
      </c>
      <c r="U42" s="73">
        <f>IFERROR(T42/S42,"")</f>
        <v/>
      </c>
    </row>
    <row r="43" ht="22" customHeight="1">
      <c r="B43" s="68" t="inlineStr">
        <is>
          <t>CV встреча → продажа (%)</t>
        </is>
      </c>
      <c r="C43" s="74">
        <f>IFERROR(C36/C35,"")</f>
        <v/>
      </c>
      <c r="D43" s="74">
        <f>IFERROR(D36/D35,"")</f>
        <v/>
      </c>
      <c r="E43" s="70">
        <f>IFERROR(D43/C43,"")</f>
        <v/>
      </c>
      <c r="G43" s="74">
        <f>IFERROR(G36/G35,"")</f>
        <v/>
      </c>
      <c r="H43" s="74">
        <f>IFERROR(H36/H35,"")</f>
        <v/>
      </c>
      <c r="I43" s="70">
        <f>IFERROR(H43/G43,"")</f>
        <v/>
      </c>
      <c r="K43" s="74">
        <f>IFERROR(K36/K35,"")</f>
        <v/>
      </c>
      <c r="L43" s="74">
        <f>IFERROR(L36/L35,"")</f>
        <v/>
      </c>
      <c r="M43" s="70">
        <f>IFERROR(L43/K43,"")</f>
        <v/>
      </c>
      <c r="O43" s="74">
        <f>IFERROR(O36/O35,"")</f>
        <v/>
      </c>
      <c r="P43" s="74">
        <f>IFERROR(P36/P35,"")</f>
        <v/>
      </c>
      <c r="Q43" s="70">
        <f>IFERROR(P43/O43,"")</f>
        <v/>
      </c>
      <c r="S43" s="74">
        <f>IFERROR(S36/S35,"")</f>
        <v/>
      </c>
      <c r="T43" s="74">
        <f>IFERROR(T36/T35,"")</f>
        <v/>
      </c>
      <c r="U43" s="70">
        <f>IFERROR(T43/S43,"")</f>
        <v/>
      </c>
    </row>
    <row r="44" ht="22" customHeight="1">
      <c r="B44" s="71" t="inlineStr">
        <is>
          <t>CV лид → продажа (%)</t>
        </is>
      </c>
      <c r="C44" s="75">
        <f>IFERROR(C36/C32,"")</f>
        <v/>
      </c>
      <c r="D44" s="75">
        <f>IFERROR(D36/D32,"")</f>
        <v/>
      </c>
      <c r="E44" s="73">
        <f>IFERROR(D44/C44,"")</f>
        <v/>
      </c>
      <c r="G44" s="75">
        <f>IFERROR(G36/G32,"")</f>
        <v/>
      </c>
      <c r="H44" s="75">
        <f>IFERROR(H36/H32,"")</f>
        <v/>
      </c>
      <c r="I44" s="73">
        <f>IFERROR(H44/G44,"")</f>
        <v/>
      </c>
      <c r="K44" s="75">
        <f>IFERROR(K36/K32,"")</f>
        <v/>
      </c>
      <c r="L44" s="75">
        <f>IFERROR(L36/L32,"")</f>
        <v/>
      </c>
      <c r="M44" s="73">
        <f>IFERROR(L44/K44,"")</f>
        <v/>
      </c>
      <c r="O44" s="75">
        <f>IFERROR(O36/O32,"")</f>
        <v/>
      </c>
      <c r="P44" s="75">
        <f>IFERROR(P36/P32,"")</f>
        <v/>
      </c>
      <c r="Q44" s="73">
        <f>IFERROR(P44/O44,"")</f>
        <v/>
      </c>
      <c r="S44" s="75">
        <f>IFERROR(S36/S32,"")</f>
        <v/>
      </c>
      <c r="T44" s="75">
        <f>IFERROR(T36/T32,"")</f>
        <v/>
      </c>
      <c r="U44" s="73">
        <f>IFERROR(T44/S44,"")</f>
        <v/>
      </c>
    </row>
    <row r="45" ht="6" customHeight="1"/>
    <row r="46" ht="20" customHeight="1">
      <c r="B46" s="52" t="inlineStr">
        <is>
          <t>ЗАДАЧИ НЕДЕЛИ — трекинг исполнения</t>
        </is>
      </c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4" t="n"/>
    </row>
    <row r="47" ht="18" customHeight="1">
      <c r="B47" s="63" t="inlineStr">
        <is>
          <t>Задача / Цель</t>
        </is>
      </c>
      <c r="C47" s="63" t="inlineStr">
        <is>
          <t>Ответственный</t>
        </is>
      </c>
      <c r="D47" s="63" t="inlineStr">
        <is>
          <t>Срок</t>
        </is>
      </c>
      <c r="E47" s="63" t="inlineStr">
        <is>
          <t>Нед 1</t>
        </is>
      </c>
      <c r="G47" s="63" t="inlineStr">
        <is>
          <t>Нед 2</t>
        </is>
      </c>
      <c r="I47" s="63" t="inlineStr">
        <is>
          <t>Нед 3</t>
        </is>
      </c>
      <c r="K47" s="63" t="inlineStr">
        <is>
          <t>Нед 4</t>
        </is>
      </c>
    </row>
    <row r="48" ht="24" customHeight="1">
      <c r="A48" s="76" t="n">
        <v>1</v>
      </c>
      <c r="B48" s="77" t="inlineStr"/>
      <c r="C48" s="77" t="inlineStr"/>
      <c r="D48" s="77" t="inlineStr"/>
      <c r="E48" s="78" t="inlineStr"/>
      <c r="G48" s="78" t="inlineStr"/>
      <c r="I48" s="78" t="inlineStr"/>
      <c r="K48" s="78" t="inlineStr"/>
    </row>
    <row r="49" ht="24" customHeight="1">
      <c r="A49" s="79" t="n">
        <v>2</v>
      </c>
      <c r="B49" s="80" t="inlineStr"/>
      <c r="C49" s="80" t="inlineStr"/>
      <c r="D49" s="80" t="inlineStr"/>
      <c r="E49" s="81" t="inlineStr"/>
      <c r="G49" s="81" t="inlineStr"/>
      <c r="I49" s="81" t="inlineStr"/>
      <c r="K49" s="81" t="inlineStr"/>
    </row>
    <row r="50" ht="24" customHeight="1">
      <c r="A50" s="76" t="n">
        <v>3</v>
      </c>
      <c r="B50" s="77" t="inlineStr"/>
      <c r="C50" s="77" t="inlineStr"/>
      <c r="D50" s="77" t="inlineStr"/>
      <c r="E50" s="78" t="inlineStr"/>
      <c r="G50" s="78" t="inlineStr"/>
      <c r="I50" s="78" t="inlineStr"/>
      <c r="K50" s="78" t="inlineStr"/>
    </row>
    <row r="51" ht="24" customHeight="1">
      <c r="A51" s="79" t="n">
        <v>4</v>
      </c>
      <c r="B51" s="80" t="inlineStr"/>
      <c r="C51" s="80" t="inlineStr"/>
      <c r="D51" s="80" t="inlineStr"/>
      <c r="E51" s="81" t="inlineStr"/>
      <c r="G51" s="81" t="inlineStr"/>
      <c r="I51" s="81" t="inlineStr"/>
      <c r="K51" s="81" t="inlineStr"/>
    </row>
    <row r="52" ht="24" customHeight="1">
      <c r="A52" s="76" t="n">
        <v>5</v>
      </c>
      <c r="B52" s="77" t="inlineStr"/>
      <c r="C52" s="77" t="inlineStr"/>
      <c r="D52" s="77" t="inlineStr"/>
      <c r="E52" s="78" t="inlineStr"/>
      <c r="G52" s="78" t="inlineStr"/>
      <c r="I52" s="78" t="inlineStr"/>
      <c r="K52" s="78" t="inlineStr"/>
    </row>
    <row r="53" ht="24" customHeight="1">
      <c r="A53" s="79" t="n">
        <v>6</v>
      </c>
      <c r="B53" s="80" t="inlineStr"/>
      <c r="C53" s="80" t="inlineStr"/>
      <c r="D53" s="80" t="inlineStr"/>
      <c r="E53" s="81" t="inlineStr"/>
      <c r="G53" s="81" t="inlineStr"/>
      <c r="I53" s="81" t="inlineStr"/>
      <c r="K53" s="81" t="inlineStr"/>
    </row>
    <row r="54" ht="24" customHeight="1">
      <c r="A54" s="76" t="n">
        <v>7</v>
      </c>
      <c r="B54" s="77" t="inlineStr"/>
      <c r="C54" s="77" t="inlineStr"/>
      <c r="D54" s="77" t="inlineStr"/>
      <c r="E54" s="78" t="inlineStr"/>
      <c r="G54" s="78" t="inlineStr"/>
      <c r="I54" s="78" t="inlineStr"/>
      <c r="K54" s="78" t="inlineStr"/>
    </row>
    <row r="55" ht="24" customHeight="1">
      <c r="A55" s="79" t="n">
        <v>8</v>
      </c>
      <c r="B55" s="80" t="inlineStr"/>
      <c r="C55" s="80" t="inlineStr"/>
      <c r="D55" s="80" t="inlineStr"/>
      <c r="E55" s="81" t="inlineStr"/>
      <c r="G55" s="81" t="inlineStr"/>
      <c r="I55" s="81" t="inlineStr"/>
      <c r="K55" s="81" t="inlineStr"/>
    </row>
    <row r="56" ht="24" customHeight="1">
      <c r="A56" s="76" t="n">
        <v>9</v>
      </c>
      <c r="B56" s="77" t="inlineStr"/>
      <c r="C56" s="77" t="inlineStr"/>
      <c r="D56" s="77" t="inlineStr"/>
      <c r="E56" s="78" t="inlineStr"/>
      <c r="G56" s="78" t="inlineStr"/>
      <c r="I56" s="78" t="inlineStr"/>
      <c r="K56" s="78" t="inlineStr"/>
    </row>
    <row r="57" ht="24" customHeight="1">
      <c r="A57" s="79" t="n">
        <v>10</v>
      </c>
      <c r="B57" s="80" t="inlineStr"/>
      <c r="C57" s="80" t="inlineStr"/>
      <c r="D57" s="80" t="inlineStr"/>
      <c r="E57" s="81" t="inlineStr"/>
      <c r="G57" s="81" t="inlineStr"/>
      <c r="I57" s="81" t="inlineStr"/>
      <c r="K57" s="81" t="inlineStr"/>
    </row>
    <row r="58" ht="6" customHeight="1"/>
    <row r="59" ht="20" customHeight="1">
      <c r="B59" s="82" t="inlineStr">
        <is>
          <t>ИТОГИ ЗАДАЧ (авто)</t>
        </is>
      </c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4" t="n"/>
    </row>
    <row r="60" ht="20" customHeight="1">
      <c r="D60" s="83" t="inlineStr">
        <is>
          <t>Нед 1 ✓:</t>
        </is>
      </c>
      <c r="E60" s="84">
        <f>COUNTIF(E49:E58,"Выполнено")</f>
        <v/>
      </c>
      <c r="F60" s="83" t="inlineStr">
        <is>
          <t>Нед 2 ✓:</t>
        </is>
      </c>
      <c r="G60" s="84">
        <f>COUNTIF(G49:G58,"Выполнено")</f>
        <v/>
      </c>
      <c r="H60" s="83" t="inlineStr">
        <is>
          <t>Нед 3 ✓:</t>
        </is>
      </c>
      <c r="I60" s="84">
        <f>COUNTIF(I49:I58,"Выполнено")</f>
        <v/>
      </c>
      <c r="J60" s="83" t="inlineStr">
        <is>
          <t>Нед 4 ✓:</t>
        </is>
      </c>
      <c r="K60" s="84">
        <f>COUNTIF(K49:K58,"Выполнено")</f>
        <v/>
      </c>
    </row>
    <row r="61" ht="6" customHeight="1"/>
    <row r="62" ht="20" customHeight="1">
      <c r="B62" s="85" t="inlineStr">
        <is>
          <t>БЛОКЕРЫ И ОГРАНИЧИТЕЛИ</t>
        </is>
      </c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4" t="n"/>
    </row>
    <row r="63" ht="18" customHeight="1">
      <c r="B63" s="63" t="inlineStr">
        <is>
          <t>Блокер / Ограничитель</t>
        </is>
      </c>
      <c r="C63" s="63" t="inlineStr">
        <is>
          <t>Влияние</t>
        </is>
      </c>
      <c r="D63" s="63" t="inlineStr">
        <is>
          <t>Ответственный</t>
        </is>
      </c>
      <c r="E63" s="63" t="inlineStr">
        <is>
          <t>Статус</t>
        </is>
      </c>
      <c r="G63" s="63" t="inlineStr">
        <is>
          <t>Срок устранения</t>
        </is>
      </c>
    </row>
    <row r="64" ht="24" customHeight="1">
      <c r="A64" s="86" t="n">
        <v>1</v>
      </c>
      <c r="B64" s="77" t="inlineStr"/>
      <c r="C64" s="77" t="inlineStr"/>
      <c r="D64" s="77" t="inlineStr"/>
      <c r="E64" s="77" t="inlineStr"/>
      <c r="G64" s="77" t="inlineStr"/>
    </row>
    <row r="65" ht="24" customHeight="1">
      <c r="A65" s="87" t="n">
        <v>2</v>
      </c>
      <c r="B65" s="80" t="inlineStr"/>
      <c r="C65" s="80" t="inlineStr"/>
      <c r="D65" s="80" t="inlineStr"/>
      <c r="E65" s="80" t="inlineStr"/>
      <c r="G65" s="80" t="inlineStr"/>
    </row>
    <row r="66" ht="24" customHeight="1">
      <c r="A66" s="86" t="n">
        <v>3</v>
      </c>
      <c r="B66" s="77" t="inlineStr"/>
      <c r="C66" s="77" t="inlineStr"/>
      <c r="D66" s="77" t="inlineStr"/>
      <c r="E66" s="77" t="inlineStr"/>
      <c r="G66" s="77" t="inlineStr"/>
    </row>
    <row r="67" ht="24" customHeight="1">
      <c r="A67" s="87" t="n">
        <v>4</v>
      </c>
      <c r="B67" s="80" t="inlineStr"/>
      <c r="C67" s="80" t="inlineStr"/>
      <c r="D67" s="80" t="inlineStr"/>
      <c r="E67" s="80" t="inlineStr"/>
      <c r="G67" s="80" t="inlineStr"/>
    </row>
    <row r="68" ht="6" customHeight="1"/>
    <row r="69" ht="16" customHeight="1">
      <c r="B69" s="56" t="inlineStr">
        <is>
          <t>Nexops · Операционный штаб для МСБ · opdir.nexops.ru · © 2026</t>
        </is>
      </c>
    </row>
  </sheetData>
  <mergeCells count="15">
    <mergeCell ref="B31:U31"/>
    <mergeCell ref="S6:U6"/>
    <mergeCell ref="B8:U8"/>
    <mergeCell ref="O6:Q6"/>
    <mergeCell ref="G6:I6"/>
    <mergeCell ref="B17:U17"/>
    <mergeCell ref="K6:M6"/>
    <mergeCell ref="G2:U2"/>
    <mergeCell ref="B40:U40"/>
    <mergeCell ref="B62:U62"/>
    <mergeCell ref="B69:U69"/>
    <mergeCell ref="B2:E2"/>
    <mergeCell ref="B46:U46"/>
    <mergeCell ref="B59:U59"/>
    <mergeCell ref="C6:E6"/>
  </mergeCells>
  <conditionalFormatting sqref="E9">
    <cfRule type="cellIs" priority="1" operator="greaterThanOrEqual" dxfId="0">
      <formula>1.0</formula>
    </cfRule>
    <cfRule type="cellIs" priority="2" operator="lessThan" dxfId="1">
      <formula>1.0</formula>
    </cfRule>
    <cfRule type="cellIs" priority="359" operator="greaterThanOrEqual" dxfId="0">
      <formula>1</formula>
    </cfRule>
    <cfRule type="cellIs" priority="360" operator="lessThan" dxfId="1">
      <formula>1</formula>
    </cfRule>
  </conditionalFormatting>
  <conditionalFormatting sqref="E10">
    <cfRule type="cellIs" priority="3" operator="greaterThanOrEqual" dxfId="0">
      <formula>1.0</formula>
    </cfRule>
    <cfRule type="cellIs" priority="4" operator="lessThan" dxfId="1">
      <formula>1.0</formula>
    </cfRule>
    <cfRule type="cellIs" priority="369" operator="greaterThanOrEqual" dxfId="0">
      <formula>1</formula>
    </cfRule>
    <cfRule type="cellIs" priority="370" operator="lessThan" dxfId="1">
      <formula>1</formula>
    </cfRule>
  </conditionalFormatting>
  <conditionalFormatting sqref="E11">
    <cfRule type="cellIs" priority="5" operator="greaterThanOrEqual" dxfId="0">
      <formula>1.0</formula>
    </cfRule>
    <cfRule type="cellIs" priority="6" operator="lessThan" dxfId="1">
      <formula>1.0</formula>
    </cfRule>
    <cfRule type="cellIs" priority="379" operator="greaterThanOrEqual" dxfId="0">
      <formula>1</formula>
    </cfRule>
    <cfRule type="cellIs" priority="380" operator="lessThan" dxfId="1">
      <formula>1</formula>
    </cfRule>
  </conditionalFormatting>
  <conditionalFormatting sqref="E12">
    <cfRule type="cellIs" priority="7" operator="greaterThanOrEqual" dxfId="0">
      <formula>1.0</formula>
    </cfRule>
    <cfRule type="cellIs" priority="8" operator="lessThan" dxfId="1">
      <formula>1.0</formula>
    </cfRule>
    <cfRule type="cellIs" priority="389" operator="greaterThanOrEqual" dxfId="0">
      <formula>1</formula>
    </cfRule>
    <cfRule type="cellIs" priority="390" operator="lessThan" dxfId="1">
      <formula>1</formula>
    </cfRule>
  </conditionalFormatting>
  <conditionalFormatting sqref="E13">
    <cfRule type="cellIs" priority="9" operator="greaterThanOrEqual" dxfId="0">
      <formula>1.0</formula>
    </cfRule>
    <cfRule type="cellIs" priority="10" operator="lessThan" dxfId="1">
      <formula>1.0</formula>
    </cfRule>
    <cfRule type="cellIs" priority="399" operator="greaterThanOrEqual" dxfId="0">
      <formula>1</formula>
    </cfRule>
    <cfRule type="cellIs" priority="400" operator="lessThan" dxfId="1">
      <formula>1</formula>
    </cfRule>
  </conditionalFormatting>
  <conditionalFormatting sqref="E14">
    <cfRule type="cellIs" priority="11" operator="greaterThanOrEqual" dxfId="0">
      <formula>1.0</formula>
    </cfRule>
    <cfRule type="cellIs" priority="12" operator="lessThan" dxfId="1">
      <formula>1.0</formula>
    </cfRule>
    <cfRule type="cellIs" priority="409" operator="greaterThanOrEqual" dxfId="0">
      <formula>1</formula>
    </cfRule>
    <cfRule type="cellIs" priority="410" operator="lessThan" dxfId="1">
      <formula>1</formula>
    </cfRule>
  </conditionalFormatting>
  <conditionalFormatting sqref="E15">
    <cfRule type="cellIs" priority="13" operator="greaterThanOrEqual" dxfId="0">
      <formula>1.0</formula>
    </cfRule>
    <cfRule type="cellIs" priority="14" operator="lessThan" dxfId="1">
      <formula>1.0</formula>
    </cfRule>
    <cfRule type="cellIs" priority="419" operator="greaterThanOrEqual" dxfId="0">
      <formula>1</formula>
    </cfRule>
    <cfRule type="cellIs" priority="420" operator="lessThan" dxfId="1">
      <formula>1</formula>
    </cfRule>
  </conditionalFormatting>
  <conditionalFormatting sqref="I9">
    <cfRule type="cellIs" priority="15" operator="greaterThanOrEqual" dxfId="0">
      <formula>1.0</formula>
    </cfRule>
    <cfRule type="cellIs" priority="16" operator="lessThan" dxfId="1">
      <formula>1.0</formula>
    </cfRule>
    <cfRule type="cellIs" priority="351" operator="greaterThanOrEqual" dxfId="0">
      <formula>1</formula>
    </cfRule>
    <cfRule type="cellIs" priority="352" operator="lessThan" dxfId="1">
      <formula>1</formula>
    </cfRule>
  </conditionalFormatting>
  <conditionalFormatting sqref="M9">
    <cfRule type="cellIs" priority="17" operator="greaterThanOrEqual" dxfId="0">
      <formula>1.0</formula>
    </cfRule>
    <cfRule type="cellIs" priority="18" operator="lessThan" dxfId="1">
      <formula>1.0</formula>
    </cfRule>
    <cfRule type="cellIs" priority="353" operator="greaterThanOrEqual" dxfId="0">
      <formula>1</formula>
    </cfRule>
    <cfRule type="cellIs" priority="354" operator="lessThan" dxfId="1">
      <formula>1</formula>
    </cfRule>
  </conditionalFormatting>
  <conditionalFormatting sqref="Q9">
    <cfRule type="cellIs" priority="19" operator="greaterThanOrEqual" dxfId="0">
      <formula>1.0</formula>
    </cfRule>
    <cfRule type="cellIs" priority="20" operator="lessThan" dxfId="1">
      <formula>1.0</formula>
    </cfRule>
    <cfRule type="cellIs" priority="355" operator="greaterThanOrEqual" dxfId="0">
      <formula>1</formula>
    </cfRule>
    <cfRule type="cellIs" priority="356" operator="lessThan" dxfId="1">
      <formula>1</formula>
    </cfRule>
  </conditionalFormatting>
  <conditionalFormatting sqref="U9">
    <cfRule type="cellIs" priority="21" operator="greaterThanOrEqual" dxfId="0">
      <formula>1.0</formula>
    </cfRule>
    <cfRule type="cellIs" priority="22" operator="lessThan" dxfId="1">
      <formula>1.0</formula>
    </cfRule>
    <cfRule type="cellIs" priority="357" operator="greaterThanOrEqual" dxfId="0">
      <formula>1</formula>
    </cfRule>
    <cfRule type="cellIs" priority="358" operator="lessThan" dxfId="1">
      <formula>1</formula>
    </cfRule>
  </conditionalFormatting>
  <conditionalFormatting sqref="I10">
    <cfRule type="cellIs" priority="23" operator="greaterThanOrEqual" dxfId="0">
      <formula>1.0</formula>
    </cfRule>
    <cfRule type="cellIs" priority="24" operator="lessThan" dxfId="1">
      <formula>1.0</formula>
    </cfRule>
    <cfRule type="cellIs" priority="361" operator="greaterThanOrEqual" dxfId="0">
      <formula>1</formula>
    </cfRule>
    <cfRule type="cellIs" priority="362" operator="lessThan" dxfId="1">
      <formula>1</formula>
    </cfRule>
  </conditionalFormatting>
  <conditionalFormatting sqref="M10">
    <cfRule type="cellIs" priority="25" operator="greaterThanOrEqual" dxfId="0">
      <formula>1.0</formula>
    </cfRule>
    <cfRule type="cellIs" priority="26" operator="lessThan" dxfId="1">
      <formula>1.0</formula>
    </cfRule>
    <cfRule type="cellIs" priority="363" operator="greaterThanOrEqual" dxfId="0">
      <formula>1</formula>
    </cfRule>
    <cfRule type="cellIs" priority="364" operator="lessThan" dxfId="1">
      <formula>1</formula>
    </cfRule>
  </conditionalFormatting>
  <conditionalFormatting sqref="Q10">
    <cfRule type="cellIs" priority="27" operator="greaterThanOrEqual" dxfId="0">
      <formula>1.0</formula>
    </cfRule>
    <cfRule type="cellIs" priority="28" operator="lessThan" dxfId="1">
      <formula>1.0</formula>
    </cfRule>
    <cfRule type="cellIs" priority="365" operator="greaterThanOrEqual" dxfId="0">
      <formula>1</formula>
    </cfRule>
    <cfRule type="cellIs" priority="366" operator="lessThan" dxfId="1">
      <formula>1</formula>
    </cfRule>
  </conditionalFormatting>
  <conditionalFormatting sqref="U10">
    <cfRule type="cellIs" priority="29" operator="greaterThanOrEqual" dxfId="0">
      <formula>1.0</formula>
    </cfRule>
    <cfRule type="cellIs" priority="30" operator="lessThan" dxfId="1">
      <formula>1.0</formula>
    </cfRule>
    <cfRule type="cellIs" priority="367" operator="greaterThanOrEqual" dxfId="0">
      <formula>1</formula>
    </cfRule>
    <cfRule type="cellIs" priority="368" operator="lessThan" dxfId="1">
      <formula>1</formula>
    </cfRule>
  </conditionalFormatting>
  <conditionalFormatting sqref="I11">
    <cfRule type="cellIs" priority="31" operator="greaterThanOrEqual" dxfId="0">
      <formula>1.0</formula>
    </cfRule>
    <cfRule type="cellIs" priority="32" operator="lessThan" dxfId="1">
      <formula>1.0</formula>
    </cfRule>
    <cfRule type="cellIs" priority="371" operator="greaterThanOrEqual" dxfId="0">
      <formula>1</formula>
    </cfRule>
    <cfRule type="cellIs" priority="372" operator="lessThan" dxfId="1">
      <formula>1</formula>
    </cfRule>
  </conditionalFormatting>
  <conditionalFormatting sqref="M11">
    <cfRule type="cellIs" priority="33" operator="greaterThanOrEqual" dxfId="0">
      <formula>1.0</formula>
    </cfRule>
    <cfRule type="cellIs" priority="34" operator="lessThan" dxfId="1">
      <formula>1.0</formula>
    </cfRule>
    <cfRule type="cellIs" priority="373" operator="greaterThanOrEqual" dxfId="0">
      <formula>1</formula>
    </cfRule>
    <cfRule type="cellIs" priority="374" operator="lessThan" dxfId="1">
      <formula>1</formula>
    </cfRule>
  </conditionalFormatting>
  <conditionalFormatting sqref="Q11">
    <cfRule type="cellIs" priority="35" operator="greaterThanOrEqual" dxfId="0">
      <formula>1.0</formula>
    </cfRule>
    <cfRule type="cellIs" priority="36" operator="lessThan" dxfId="1">
      <formula>1.0</formula>
    </cfRule>
    <cfRule type="cellIs" priority="375" operator="greaterThanOrEqual" dxfId="0">
      <formula>1</formula>
    </cfRule>
    <cfRule type="cellIs" priority="376" operator="lessThan" dxfId="1">
      <formula>1</formula>
    </cfRule>
  </conditionalFormatting>
  <conditionalFormatting sqref="U11">
    <cfRule type="cellIs" priority="37" operator="greaterThanOrEqual" dxfId="0">
      <formula>1.0</formula>
    </cfRule>
    <cfRule type="cellIs" priority="38" operator="lessThan" dxfId="1">
      <formula>1.0</formula>
    </cfRule>
    <cfRule type="cellIs" priority="377" operator="greaterThanOrEqual" dxfId="0">
      <formula>1</formula>
    </cfRule>
    <cfRule type="cellIs" priority="378" operator="lessThan" dxfId="1">
      <formula>1</formula>
    </cfRule>
  </conditionalFormatting>
  <conditionalFormatting sqref="I12">
    <cfRule type="cellIs" priority="39" operator="greaterThanOrEqual" dxfId="0">
      <formula>1.0</formula>
    </cfRule>
    <cfRule type="cellIs" priority="40" operator="lessThan" dxfId="1">
      <formula>1.0</formula>
    </cfRule>
    <cfRule type="cellIs" priority="381" operator="greaterThanOrEqual" dxfId="0">
      <formula>1</formula>
    </cfRule>
    <cfRule type="cellIs" priority="382" operator="lessThan" dxfId="1">
      <formula>1</formula>
    </cfRule>
  </conditionalFormatting>
  <conditionalFormatting sqref="M12">
    <cfRule type="cellIs" priority="41" operator="greaterThanOrEqual" dxfId="0">
      <formula>1.0</formula>
    </cfRule>
    <cfRule type="cellIs" priority="42" operator="lessThan" dxfId="1">
      <formula>1.0</formula>
    </cfRule>
    <cfRule type="cellIs" priority="383" operator="greaterThanOrEqual" dxfId="0">
      <formula>1</formula>
    </cfRule>
    <cfRule type="cellIs" priority="384" operator="lessThan" dxfId="1">
      <formula>1</formula>
    </cfRule>
  </conditionalFormatting>
  <conditionalFormatting sqref="Q12">
    <cfRule type="cellIs" priority="43" operator="greaterThanOrEqual" dxfId="0">
      <formula>1.0</formula>
    </cfRule>
    <cfRule type="cellIs" priority="44" operator="lessThan" dxfId="1">
      <formula>1.0</formula>
    </cfRule>
    <cfRule type="cellIs" priority="385" operator="greaterThanOrEqual" dxfId="0">
      <formula>1</formula>
    </cfRule>
    <cfRule type="cellIs" priority="386" operator="lessThan" dxfId="1">
      <formula>1</formula>
    </cfRule>
  </conditionalFormatting>
  <conditionalFormatting sqref="U12">
    <cfRule type="cellIs" priority="45" operator="greaterThanOrEqual" dxfId="0">
      <formula>1.0</formula>
    </cfRule>
    <cfRule type="cellIs" priority="46" operator="lessThan" dxfId="1">
      <formula>1.0</formula>
    </cfRule>
    <cfRule type="cellIs" priority="387" operator="greaterThanOrEqual" dxfId="0">
      <formula>1</formula>
    </cfRule>
    <cfRule type="cellIs" priority="388" operator="lessThan" dxfId="1">
      <formula>1</formula>
    </cfRule>
  </conditionalFormatting>
  <conditionalFormatting sqref="I13">
    <cfRule type="cellIs" priority="47" operator="greaterThanOrEqual" dxfId="0">
      <formula>1.0</formula>
    </cfRule>
    <cfRule type="cellIs" priority="48" operator="lessThan" dxfId="1">
      <formula>1.0</formula>
    </cfRule>
    <cfRule type="cellIs" priority="391" operator="greaterThanOrEqual" dxfId="0">
      <formula>1</formula>
    </cfRule>
    <cfRule type="cellIs" priority="392" operator="lessThan" dxfId="1">
      <formula>1</formula>
    </cfRule>
  </conditionalFormatting>
  <conditionalFormatting sqref="M13">
    <cfRule type="cellIs" priority="49" operator="greaterThanOrEqual" dxfId="0">
      <formula>1.0</formula>
    </cfRule>
    <cfRule type="cellIs" priority="50" operator="lessThan" dxfId="1">
      <formula>1.0</formula>
    </cfRule>
    <cfRule type="cellIs" priority="393" operator="greaterThanOrEqual" dxfId="0">
      <formula>1</formula>
    </cfRule>
    <cfRule type="cellIs" priority="394" operator="lessThan" dxfId="1">
      <formula>1</formula>
    </cfRule>
  </conditionalFormatting>
  <conditionalFormatting sqref="Q13">
    <cfRule type="cellIs" priority="51" operator="greaterThanOrEqual" dxfId="0">
      <formula>1.0</formula>
    </cfRule>
    <cfRule type="cellIs" priority="52" operator="lessThan" dxfId="1">
      <formula>1.0</formula>
    </cfRule>
    <cfRule type="cellIs" priority="395" operator="greaterThanOrEqual" dxfId="0">
      <formula>1</formula>
    </cfRule>
    <cfRule type="cellIs" priority="396" operator="lessThan" dxfId="1">
      <formula>1</formula>
    </cfRule>
  </conditionalFormatting>
  <conditionalFormatting sqref="U13">
    <cfRule type="cellIs" priority="53" operator="greaterThanOrEqual" dxfId="0">
      <formula>1.0</formula>
    </cfRule>
    <cfRule type="cellIs" priority="54" operator="lessThan" dxfId="1">
      <formula>1.0</formula>
    </cfRule>
    <cfRule type="cellIs" priority="397" operator="greaterThanOrEqual" dxfId="0">
      <formula>1</formula>
    </cfRule>
    <cfRule type="cellIs" priority="398" operator="lessThan" dxfId="1">
      <formula>1</formula>
    </cfRule>
  </conditionalFormatting>
  <conditionalFormatting sqref="I14">
    <cfRule type="cellIs" priority="55" operator="greaterThanOrEqual" dxfId="0">
      <formula>1.0</formula>
    </cfRule>
    <cfRule type="cellIs" priority="56" operator="lessThan" dxfId="1">
      <formula>1.0</formula>
    </cfRule>
    <cfRule type="cellIs" priority="401" operator="greaterThanOrEqual" dxfId="0">
      <formula>1</formula>
    </cfRule>
    <cfRule type="cellIs" priority="402" operator="lessThan" dxfId="1">
      <formula>1</formula>
    </cfRule>
  </conditionalFormatting>
  <conditionalFormatting sqref="M14">
    <cfRule type="cellIs" priority="57" operator="greaterThanOrEqual" dxfId="0">
      <formula>1.0</formula>
    </cfRule>
    <cfRule type="cellIs" priority="58" operator="lessThan" dxfId="1">
      <formula>1.0</formula>
    </cfRule>
    <cfRule type="cellIs" priority="403" operator="greaterThanOrEqual" dxfId="0">
      <formula>1</formula>
    </cfRule>
    <cfRule type="cellIs" priority="404" operator="lessThan" dxfId="1">
      <formula>1</formula>
    </cfRule>
  </conditionalFormatting>
  <conditionalFormatting sqref="Q14">
    <cfRule type="cellIs" priority="59" operator="greaterThanOrEqual" dxfId="0">
      <formula>1.0</formula>
    </cfRule>
    <cfRule type="cellIs" priority="60" operator="lessThan" dxfId="1">
      <formula>1.0</formula>
    </cfRule>
    <cfRule type="cellIs" priority="405" operator="greaterThanOrEqual" dxfId="0">
      <formula>1</formula>
    </cfRule>
    <cfRule type="cellIs" priority="406" operator="lessThan" dxfId="1">
      <formula>1</formula>
    </cfRule>
  </conditionalFormatting>
  <conditionalFormatting sqref="U14">
    <cfRule type="cellIs" priority="61" operator="greaterThanOrEqual" dxfId="0">
      <formula>1.0</formula>
    </cfRule>
    <cfRule type="cellIs" priority="62" operator="lessThan" dxfId="1">
      <formula>1.0</formula>
    </cfRule>
    <cfRule type="cellIs" priority="407" operator="greaterThanOrEqual" dxfId="0">
      <formula>1</formula>
    </cfRule>
    <cfRule type="cellIs" priority="408" operator="lessThan" dxfId="1">
      <formula>1</formula>
    </cfRule>
  </conditionalFormatting>
  <conditionalFormatting sqref="I15">
    <cfRule type="cellIs" priority="63" operator="greaterThanOrEqual" dxfId="0">
      <formula>1.0</formula>
    </cfRule>
    <cfRule type="cellIs" priority="64" operator="lessThan" dxfId="1">
      <formula>1.0</formula>
    </cfRule>
    <cfRule type="cellIs" priority="411" operator="greaterThanOrEqual" dxfId="0">
      <formula>1</formula>
    </cfRule>
    <cfRule type="cellIs" priority="412" operator="lessThan" dxfId="1">
      <formula>1</formula>
    </cfRule>
  </conditionalFormatting>
  <conditionalFormatting sqref="M15">
    <cfRule type="cellIs" priority="65" operator="greaterThanOrEqual" dxfId="0">
      <formula>1.0</formula>
    </cfRule>
    <cfRule type="cellIs" priority="66" operator="lessThan" dxfId="1">
      <formula>1.0</formula>
    </cfRule>
    <cfRule type="cellIs" priority="413" operator="greaterThanOrEqual" dxfId="0">
      <formula>1</formula>
    </cfRule>
    <cfRule type="cellIs" priority="414" operator="lessThan" dxfId="1">
      <formula>1</formula>
    </cfRule>
  </conditionalFormatting>
  <conditionalFormatting sqref="Q15">
    <cfRule type="cellIs" priority="67" operator="greaterThanOrEqual" dxfId="0">
      <formula>1.0</formula>
    </cfRule>
    <cfRule type="cellIs" priority="68" operator="lessThan" dxfId="1">
      <formula>1.0</formula>
    </cfRule>
    <cfRule type="cellIs" priority="415" operator="greaterThanOrEqual" dxfId="0">
      <formula>1</formula>
    </cfRule>
    <cfRule type="cellIs" priority="416" operator="lessThan" dxfId="1">
      <formula>1</formula>
    </cfRule>
  </conditionalFormatting>
  <conditionalFormatting sqref="U15">
    <cfRule type="cellIs" priority="69" operator="greaterThanOrEqual" dxfId="0">
      <formula>1.0</formula>
    </cfRule>
    <cfRule type="cellIs" priority="70" operator="lessThan" dxfId="1">
      <formula>1.0</formula>
    </cfRule>
    <cfRule type="cellIs" priority="417" operator="greaterThanOrEqual" dxfId="0">
      <formula>1</formula>
    </cfRule>
    <cfRule type="cellIs" priority="418" operator="lessThan" dxfId="1">
      <formula>1</formula>
    </cfRule>
  </conditionalFormatting>
  <conditionalFormatting sqref="E18">
    <cfRule type="cellIs" priority="71" operator="greaterThanOrEqual" dxfId="0">
      <formula>1.0</formula>
    </cfRule>
    <cfRule type="cellIs" priority="72" operator="lessThan" dxfId="1">
      <formula>1.0</formula>
    </cfRule>
    <cfRule type="cellIs" priority="429" operator="greaterThanOrEqual" dxfId="0">
      <formula>1</formula>
    </cfRule>
    <cfRule type="cellIs" priority="430" operator="lessThan" dxfId="1">
      <formula>1</formula>
    </cfRule>
  </conditionalFormatting>
  <conditionalFormatting sqref="E19">
    <cfRule type="cellIs" priority="73" operator="greaterThanOrEqual" dxfId="0">
      <formula>1.0</formula>
    </cfRule>
    <cfRule type="cellIs" priority="74" operator="lessThan" dxfId="1">
      <formula>1.0</formula>
    </cfRule>
    <cfRule type="cellIs" priority="439" operator="greaterThanOrEqual" dxfId="0">
      <formula>1</formula>
    </cfRule>
    <cfRule type="cellIs" priority="440" operator="lessThan" dxfId="1">
      <formula>1</formula>
    </cfRule>
  </conditionalFormatting>
  <conditionalFormatting sqref="E20">
    <cfRule type="cellIs" priority="75" operator="greaterThanOrEqual" dxfId="0">
      <formula>1.0</formula>
    </cfRule>
    <cfRule type="cellIs" priority="76" operator="lessThan" dxfId="1">
      <formula>1.0</formula>
    </cfRule>
    <cfRule type="cellIs" priority="449" operator="greaterThanOrEqual" dxfId="0">
      <formula>1</formula>
    </cfRule>
    <cfRule type="cellIs" priority="450" operator="lessThan" dxfId="1">
      <formula>1</formula>
    </cfRule>
  </conditionalFormatting>
  <conditionalFormatting sqref="E21">
    <cfRule type="cellIs" priority="77" operator="greaterThanOrEqual" dxfId="0">
      <formula>1.0</formula>
    </cfRule>
    <cfRule type="cellIs" priority="78" operator="lessThan" dxfId="1">
      <formula>1.0</formula>
    </cfRule>
    <cfRule type="cellIs" priority="459" operator="greaterThanOrEqual" dxfId="0">
      <formula>1</formula>
    </cfRule>
    <cfRule type="cellIs" priority="460" operator="lessThan" dxfId="1">
      <formula>1</formula>
    </cfRule>
  </conditionalFormatting>
  <conditionalFormatting sqref="E22">
    <cfRule type="cellIs" priority="79" operator="greaterThanOrEqual" dxfId="0">
      <formula>1.0</formula>
    </cfRule>
    <cfRule type="cellIs" priority="80" operator="lessThan" dxfId="1">
      <formula>1.0</formula>
    </cfRule>
    <cfRule type="cellIs" priority="469" operator="greaterThanOrEqual" dxfId="0">
      <formula>1</formula>
    </cfRule>
    <cfRule type="cellIs" priority="470" operator="lessThan" dxfId="1">
      <formula>1</formula>
    </cfRule>
  </conditionalFormatting>
  <conditionalFormatting sqref="E23">
    <cfRule type="cellIs" priority="81" operator="greaterThanOrEqual" dxfId="0">
      <formula>1.0</formula>
    </cfRule>
    <cfRule type="cellIs" priority="82" operator="lessThan" dxfId="1">
      <formula>1.0</formula>
    </cfRule>
    <cfRule type="cellIs" priority="479" operator="greaterThanOrEqual" dxfId="0">
      <formula>1</formula>
    </cfRule>
    <cfRule type="cellIs" priority="480" operator="lessThan" dxfId="1">
      <formula>1</formula>
    </cfRule>
  </conditionalFormatting>
  <conditionalFormatting sqref="E24">
    <cfRule type="cellIs" priority="83" operator="greaterThanOrEqual" dxfId="0">
      <formula>1.0</formula>
    </cfRule>
    <cfRule type="cellIs" priority="84" operator="lessThan" dxfId="1">
      <formula>1.0</formula>
    </cfRule>
    <cfRule type="cellIs" priority="489" operator="greaterThanOrEqual" dxfId="0">
      <formula>1</formula>
    </cfRule>
    <cfRule type="cellIs" priority="490" operator="lessThan" dxfId="1">
      <formula>1</formula>
    </cfRule>
  </conditionalFormatting>
  <conditionalFormatting sqref="E25">
    <cfRule type="cellIs" priority="85" operator="greaterThanOrEqual" dxfId="0">
      <formula>1.0</formula>
    </cfRule>
    <cfRule type="cellIs" priority="86" operator="lessThan" dxfId="1">
      <formula>1.0</formula>
    </cfRule>
    <cfRule type="cellIs" priority="499" operator="greaterThanOrEqual" dxfId="0">
      <formula>1</formula>
    </cfRule>
    <cfRule type="cellIs" priority="500" operator="lessThan" dxfId="1">
      <formula>1</formula>
    </cfRule>
  </conditionalFormatting>
  <conditionalFormatting sqref="E26">
    <cfRule type="cellIs" priority="87" operator="greaterThanOrEqual" dxfId="0">
      <formula>1.0</formula>
    </cfRule>
    <cfRule type="cellIs" priority="88" operator="lessThan" dxfId="1">
      <formula>1.0</formula>
    </cfRule>
    <cfRule type="cellIs" priority="509" operator="greaterThanOrEqual" dxfId="0">
      <formula>1</formula>
    </cfRule>
    <cfRule type="cellIs" priority="510" operator="lessThan" dxfId="1">
      <formula>1</formula>
    </cfRule>
  </conditionalFormatting>
  <conditionalFormatting sqref="E27">
    <cfRule type="cellIs" priority="89" operator="greaterThanOrEqual" dxfId="0">
      <formula>1.0</formula>
    </cfRule>
    <cfRule type="cellIs" priority="90" operator="lessThan" dxfId="1">
      <formula>1.0</formula>
    </cfRule>
    <cfRule type="cellIs" priority="519" operator="greaterThanOrEqual" dxfId="0">
      <formula>1</formula>
    </cfRule>
    <cfRule type="cellIs" priority="520" operator="lessThan" dxfId="1">
      <formula>1</formula>
    </cfRule>
  </conditionalFormatting>
  <conditionalFormatting sqref="E28">
    <cfRule type="cellIs" priority="91" operator="greaterThanOrEqual" dxfId="0">
      <formula>1.0</formula>
    </cfRule>
    <cfRule type="cellIs" priority="92" operator="lessThan" dxfId="1">
      <formula>1.0</formula>
    </cfRule>
    <cfRule type="cellIs" priority="529" operator="greaterThanOrEqual" dxfId="0">
      <formula>1</formula>
    </cfRule>
    <cfRule type="cellIs" priority="530" operator="lessThan" dxfId="1">
      <formula>1</formula>
    </cfRule>
  </conditionalFormatting>
  <conditionalFormatting sqref="E29">
    <cfRule type="cellIs" priority="93" operator="greaterThanOrEqual" dxfId="0">
      <formula>1.0</formula>
    </cfRule>
    <cfRule type="cellIs" priority="94" operator="lessThan" dxfId="1">
      <formula>1.0</formula>
    </cfRule>
    <cfRule type="cellIs" priority="539" operator="greaterThanOrEqual" dxfId="0">
      <formula>1</formula>
    </cfRule>
    <cfRule type="cellIs" priority="540" operator="lessThan" dxfId="1">
      <formula>1</formula>
    </cfRule>
  </conditionalFormatting>
  <conditionalFormatting sqref="I18">
    <cfRule type="cellIs" priority="95" operator="greaterThanOrEqual" dxfId="0">
      <formula>1.0</formula>
    </cfRule>
    <cfRule type="cellIs" priority="96" operator="lessThan" dxfId="1">
      <formula>1.0</formula>
    </cfRule>
    <cfRule type="cellIs" priority="421" operator="greaterThanOrEqual" dxfId="0">
      <formula>1</formula>
    </cfRule>
    <cfRule type="cellIs" priority="422" operator="lessThan" dxfId="1">
      <formula>1</formula>
    </cfRule>
  </conditionalFormatting>
  <conditionalFormatting sqref="M18">
    <cfRule type="cellIs" priority="97" operator="greaterThanOrEqual" dxfId="0">
      <formula>1.0</formula>
    </cfRule>
    <cfRule type="cellIs" priority="98" operator="lessThan" dxfId="1">
      <formula>1.0</formula>
    </cfRule>
    <cfRule type="cellIs" priority="423" operator="greaterThanOrEqual" dxfId="0">
      <formula>1</formula>
    </cfRule>
    <cfRule type="cellIs" priority="424" operator="lessThan" dxfId="1">
      <formula>1</formula>
    </cfRule>
  </conditionalFormatting>
  <conditionalFormatting sqref="Q18">
    <cfRule type="cellIs" priority="99" operator="greaterThanOrEqual" dxfId="0">
      <formula>1.0</formula>
    </cfRule>
    <cfRule type="cellIs" priority="100" operator="lessThan" dxfId="1">
      <formula>1.0</formula>
    </cfRule>
    <cfRule type="cellIs" priority="425" operator="greaterThanOrEqual" dxfId="0">
      <formula>1</formula>
    </cfRule>
    <cfRule type="cellIs" priority="426" operator="lessThan" dxfId="1">
      <formula>1</formula>
    </cfRule>
  </conditionalFormatting>
  <conditionalFormatting sqref="U18">
    <cfRule type="cellIs" priority="101" operator="greaterThanOrEqual" dxfId="0">
      <formula>1.0</formula>
    </cfRule>
    <cfRule type="cellIs" priority="102" operator="lessThan" dxfId="1">
      <formula>1.0</formula>
    </cfRule>
    <cfRule type="cellIs" priority="427" operator="greaterThanOrEqual" dxfId="0">
      <formula>1</formula>
    </cfRule>
    <cfRule type="cellIs" priority="428" operator="lessThan" dxfId="1">
      <formula>1</formula>
    </cfRule>
  </conditionalFormatting>
  <conditionalFormatting sqref="I19">
    <cfRule type="cellIs" priority="103" operator="greaterThanOrEqual" dxfId="0">
      <formula>1.0</formula>
    </cfRule>
    <cfRule type="cellIs" priority="104" operator="lessThan" dxfId="1">
      <formula>1.0</formula>
    </cfRule>
    <cfRule type="cellIs" priority="431" operator="greaterThanOrEqual" dxfId="0">
      <formula>1</formula>
    </cfRule>
    <cfRule type="cellIs" priority="432" operator="lessThan" dxfId="1">
      <formula>1</formula>
    </cfRule>
  </conditionalFormatting>
  <conditionalFormatting sqref="M19">
    <cfRule type="cellIs" priority="105" operator="greaterThanOrEqual" dxfId="0">
      <formula>1.0</formula>
    </cfRule>
    <cfRule type="cellIs" priority="106" operator="lessThan" dxfId="1">
      <formula>1.0</formula>
    </cfRule>
    <cfRule type="cellIs" priority="433" operator="greaterThanOrEqual" dxfId="0">
      <formula>1</formula>
    </cfRule>
    <cfRule type="cellIs" priority="434" operator="lessThan" dxfId="1">
      <formula>1</formula>
    </cfRule>
  </conditionalFormatting>
  <conditionalFormatting sqref="Q19">
    <cfRule type="cellIs" priority="107" operator="greaterThanOrEqual" dxfId="0">
      <formula>1.0</formula>
    </cfRule>
    <cfRule type="cellIs" priority="108" operator="lessThan" dxfId="1">
      <formula>1.0</formula>
    </cfRule>
    <cfRule type="cellIs" priority="435" operator="greaterThanOrEqual" dxfId="0">
      <formula>1</formula>
    </cfRule>
    <cfRule type="cellIs" priority="436" operator="lessThan" dxfId="1">
      <formula>1</formula>
    </cfRule>
  </conditionalFormatting>
  <conditionalFormatting sqref="U19">
    <cfRule type="cellIs" priority="109" operator="greaterThanOrEqual" dxfId="0">
      <formula>1.0</formula>
    </cfRule>
    <cfRule type="cellIs" priority="110" operator="lessThan" dxfId="1">
      <formula>1.0</formula>
    </cfRule>
    <cfRule type="cellIs" priority="437" operator="greaterThanOrEqual" dxfId="0">
      <formula>1</formula>
    </cfRule>
    <cfRule type="cellIs" priority="438" operator="lessThan" dxfId="1">
      <formula>1</formula>
    </cfRule>
  </conditionalFormatting>
  <conditionalFormatting sqref="I20">
    <cfRule type="cellIs" priority="111" operator="greaterThanOrEqual" dxfId="0">
      <formula>1.0</formula>
    </cfRule>
    <cfRule type="cellIs" priority="112" operator="lessThan" dxfId="1">
      <formula>1.0</formula>
    </cfRule>
    <cfRule type="cellIs" priority="441" operator="greaterThanOrEqual" dxfId="0">
      <formula>1</formula>
    </cfRule>
    <cfRule type="cellIs" priority="442" operator="lessThan" dxfId="1">
      <formula>1</formula>
    </cfRule>
  </conditionalFormatting>
  <conditionalFormatting sqref="M20">
    <cfRule type="cellIs" priority="113" operator="greaterThanOrEqual" dxfId="0">
      <formula>1.0</formula>
    </cfRule>
    <cfRule type="cellIs" priority="114" operator="lessThan" dxfId="1">
      <formula>1.0</formula>
    </cfRule>
    <cfRule type="cellIs" priority="443" operator="greaterThanOrEqual" dxfId="0">
      <formula>1</formula>
    </cfRule>
    <cfRule type="cellIs" priority="444" operator="lessThan" dxfId="1">
      <formula>1</formula>
    </cfRule>
  </conditionalFormatting>
  <conditionalFormatting sqref="Q20">
    <cfRule type="cellIs" priority="115" operator="greaterThanOrEqual" dxfId="0">
      <formula>1.0</formula>
    </cfRule>
    <cfRule type="cellIs" priority="116" operator="lessThan" dxfId="1">
      <formula>1.0</formula>
    </cfRule>
    <cfRule type="cellIs" priority="445" operator="greaterThanOrEqual" dxfId="0">
      <formula>1</formula>
    </cfRule>
    <cfRule type="cellIs" priority="446" operator="lessThan" dxfId="1">
      <formula>1</formula>
    </cfRule>
  </conditionalFormatting>
  <conditionalFormatting sqref="U20">
    <cfRule type="cellIs" priority="117" operator="greaterThanOrEqual" dxfId="0">
      <formula>1.0</formula>
    </cfRule>
    <cfRule type="cellIs" priority="118" operator="lessThan" dxfId="1">
      <formula>1.0</formula>
    </cfRule>
    <cfRule type="cellIs" priority="447" operator="greaterThanOrEqual" dxfId="0">
      <formula>1</formula>
    </cfRule>
    <cfRule type="cellIs" priority="448" operator="lessThan" dxfId="1">
      <formula>1</formula>
    </cfRule>
  </conditionalFormatting>
  <conditionalFormatting sqref="I21">
    <cfRule type="cellIs" priority="119" operator="greaterThanOrEqual" dxfId="0">
      <formula>1.0</formula>
    </cfRule>
    <cfRule type="cellIs" priority="120" operator="lessThan" dxfId="1">
      <formula>1.0</formula>
    </cfRule>
    <cfRule type="cellIs" priority="451" operator="greaterThanOrEqual" dxfId="0">
      <formula>1</formula>
    </cfRule>
    <cfRule type="cellIs" priority="452" operator="lessThan" dxfId="1">
      <formula>1</formula>
    </cfRule>
  </conditionalFormatting>
  <conditionalFormatting sqref="M21">
    <cfRule type="cellIs" priority="121" operator="greaterThanOrEqual" dxfId="0">
      <formula>1.0</formula>
    </cfRule>
    <cfRule type="cellIs" priority="122" operator="lessThan" dxfId="1">
      <formula>1.0</formula>
    </cfRule>
    <cfRule type="cellIs" priority="453" operator="greaterThanOrEqual" dxfId="0">
      <formula>1</formula>
    </cfRule>
    <cfRule type="cellIs" priority="454" operator="lessThan" dxfId="1">
      <formula>1</formula>
    </cfRule>
  </conditionalFormatting>
  <conditionalFormatting sqref="Q21">
    <cfRule type="cellIs" priority="123" operator="greaterThanOrEqual" dxfId="0">
      <formula>1.0</formula>
    </cfRule>
    <cfRule type="cellIs" priority="124" operator="lessThan" dxfId="1">
      <formula>1.0</formula>
    </cfRule>
    <cfRule type="cellIs" priority="455" operator="greaterThanOrEqual" dxfId="0">
      <formula>1</formula>
    </cfRule>
    <cfRule type="cellIs" priority="456" operator="lessThan" dxfId="1">
      <formula>1</formula>
    </cfRule>
  </conditionalFormatting>
  <conditionalFormatting sqref="U21">
    <cfRule type="cellIs" priority="125" operator="greaterThanOrEqual" dxfId="0">
      <formula>1.0</formula>
    </cfRule>
    <cfRule type="cellIs" priority="126" operator="lessThan" dxfId="1">
      <formula>1.0</formula>
    </cfRule>
    <cfRule type="cellIs" priority="457" operator="greaterThanOrEqual" dxfId="0">
      <formula>1</formula>
    </cfRule>
    <cfRule type="cellIs" priority="458" operator="lessThan" dxfId="1">
      <formula>1</formula>
    </cfRule>
  </conditionalFormatting>
  <conditionalFormatting sqref="I22">
    <cfRule type="cellIs" priority="127" operator="greaterThanOrEqual" dxfId="0">
      <formula>1.0</formula>
    </cfRule>
    <cfRule type="cellIs" priority="128" operator="lessThan" dxfId="1">
      <formula>1.0</formula>
    </cfRule>
    <cfRule type="cellIs" priority="461" operator="greaterThanOrEqual" dxfId="0">
      <formula>1</formula>
    </cfRule>
    <cfRule type="cellIs" priority="462" operator="lessThan" dxfId="1">
      <formula>1</formula>
    </cfRule>
  </conditionalFormatting>
  <conditionalFormatting sqref="M22">
    <cfRule type="cellIs" priority="129" operator="greaterThanOrEqual" dxfId="0">
      <formula>1.0</formula>
    </cfRule>
    <cfRule type="cellIs" priority="130" operator="lessThan" dxfId="1">
      <formula>1.0</formula>
    </cfRule>
    <cfRule type="cellIs" priority="463" operator="greaterThanOrEqual" dxfId="0">
      <formula>1</formula>
    </cfRule>
    <cfRule type="cellIs" priority="464" operator="lessThan" dxfId="1">
      <formula>1</formula>
    </cfRule>
  </conditionalFormatting>
  <conditionalFormatting sqref="Q22">
    <cfRule type="cellIs" priority="131" operator="greaterThanOrEqual" dxfId="0">
      <formula>1.0</formula>
    </cfRule>
    <cfRule type="cellIs" priority="132" operator="lessThan" dxfId="1">
      <formula>1.0</formula>
    </cfRule>
    <cfRule type="cellIs" priority="465" operator="greaterThanOrEqual" dxfId="0">
      <formula>1</formula>
    </cfRule>
    <cfRule type="cellIs" priority="466" operator="lessThan" dxfId="1">
      <formula>1</formula>
    </cfRule>
  </conditionalFormatting>
  <conditionalFormatting sqref="U22">
    <cfRule type="cellIs" priority="133" operator="greaterThanOrEqual" dxfId="0">
      <formula>1.0</formula>
    </cfRule>
    <cfRule type="cellIs" priority="134" operator="lessThan" dxfId="1">
      <formula>1.0</formula>
    </cfRule>
    <cfRule type="cellIs" priority="467" operator="greaterThanOrEqual" dxfId="0">
      <formula>1</formula>
    </cfRule>
    <cfRule type="cellIs" priority="468" operator="lessThan" dxfId="1">
      <formula>1</formula>
    </cfRule>
  </conditionalFormatting>
  <conditionalFormatting sqref="I23">
    <cfRule type="cellIs" priority="135" operator="greaterThanOrEqual" dxfId="0">
      <formula>1.0</formula>
    </cfRule>
    <cfRule type="cellIs" priority="136" operator="lessThan" dxfId="1">
      <formula>1.0</formula>
    </cfRule>
    <cfRule type="cellIs" priority="471" operator="greaterThanOrEqual" dxfId="0">
      <formula>1</formula>
    </cfRule>
    <cfRule type="cellIs" priority="472" operator="lessThan" dxfId="1">
      <formula>1</formula>
    </cfRule>
  </conditionalFormatting>
  <conditionalFormatting sqref="M23">
    <cfRule type="cellIs" priority="137" operator="greaterThanOrEqual" dxfId="0">
      <formula>1.0</formula>
    </cfRule>
    <cfRule type="cellIs" priority="138" operator="lessThan" dxfId="1">
      <formula>1.0</formula>
    </cfRule>
    <cfRule type="cellIs" priority="473" operator="greaterThanOrEqual" dxfId="0">
      <formula>1</formula>
    </cfRule>
    <cfRule type="cellIs" priority="474" operator="lessThan" dxfId="1">
      <formula>1</formula>
    </cfRule>
  </conditionalFormatting>
  <conditionalFormatting sqref="Q23">
    <cfRule type="cellIs" priority="139" operator="greaterThanOrEqual" dxfId="0">
      <formula>1.0</formula>
    </cfRule>
    <cfRule type="cellIs" priority="140" operator="lessThan" dxfId="1">
      <formula>1.0</formula>
    </cfRule>
    <cfRule type="cellIs" priority="475" operator="greaterThanOrEqual" dxfId="0">
      <formula>1</formula>
    </cfRule>
    <cfRule type="cellIs" priority="476" operator="lessThan" dxfId="1">
      <formula>1</formula>
    </cfRule>
  </conditionalFormatting>
  <conditionalFormatting sqref="U23">
    <cfRule type="cellIs" priority="141" operator="greaterThanOrEqual" dxfId="0">
      <formula>1.0</formula>
    </cfRule>
    <cfRule type="cellIs" priority="142" operator="lessThan" dxfId="1">
      <formula>1.0</formula>
    </cfRule>
    <cfRule type="cellIs" priority="477" operator="greaterThanOrEqual" dxfId="0">
      <formula>1</formula>
    </cfRule>
    <cfRule type="cellIs" priority="478" operator="lessThan" dxfId="1">
      <formula>1</formula>
    </cfRule>
  </conditionalFormatting>
  <conditionalFormatting sqref="I24">
    <cfRule type="cellIs" priority="143" operator="greaterThanOrEqual" dxfId="0">
      <formula>1.0</formula>
    </cfRule>
    <cfRule type="cellIs" priority="144" operator="lessThan" dxfId="1">
      <formula>1.0</formula>
    </cfRule>
    <cfRule type="cellIs" priority="481" operator="greaterThanOrEqual" dxfId="0">
      <formula>1</formula>
    </cfRule>
    <cfRule type="cellIs" priority="482" operator="lessThan" dxfId="1">
      <formula>1</formula>
    </cfRule>
  </conditionalFormatting>
  <conditionalFormatting sqref="M24">
    <cfRule type="cellIs" priority="145" operator="greaterThanOrEqual" dxfId="0">
      <formula>1.0</formula>
    </cfRule>
    <cfRule type="cellIs" priority="146" operator="lessThan" dxfId="1">
      <formula>1.0</formula>
    </cfRule>
    <cfRule type="cellIs" priority="483" operator="greaterThanOrEqual" dxfId="0">
      <formula>1</formula>
    </cfRule>
    <cfRule type="cellIs" priority="484" operator="lessThan" dxfId="1">
      <formula>1</formula>
    </cfRule>
  </conditionalFormatting>
  <conditionalFormatting sqref="Q24">
    <cfRule type="cellIs" priority="147" operator="greaterThanOrEqual" dxfId="0">
      <formula>1.0</formula>
    </cfRule>
    <cfRule type="cellIs" priority="148" operator="lessThan" dxfId="1">
      <formula>1.0</formula>
    </cfRule>
    <cfRule type="cellIs" priority="485" operator="greaterThanOrEqual" dxfId="0">
      <formula>1</formula>
    </cfRule>
    <cfRule type="cellIs" priority="486" operator="lessThan" dxfId="1">
      <formula>1</formula>
    </cfRule>
  </conditionalFormatting>
  <conditionalFormatting sqref="U24">
    <cfRule type="cellIs" priority="149" operator="greaterThanOrEqual" dxfId="0">
      <formula>1.0</formula>
    </cfRule>
    <cfRule type="cellIs" priority="150" operator="lessThan" dxfId="1">
      <formula>1.0</formula>
    </cfRule>
    <cfRule type="cellIs" priority="487" operator="greaterThanOrEqual" dxfId="0">
      <formula>1</formula>
    </cfRule>
    <cfRule type="cellIs" priority="488" operator="lessThan" dxfId="1">
      <formula>1</formula>
    </cfRule>
  </conditionalFormatting>
  <conditionalFormatting sqref="I25">
    <cfRule type="cellIs" priority="151" operator="greaterThanOrEqual" dxfId="0">
      <formula>1.0</formula>
    </cfRule>
    <cfRule type="cellIs" priority="152" operator="lessThan" dxfId="1">
      <formula>1.0</formula>
    </cfRule>
    <cfRule type="cellIs" priority="491" operator="greaterThanOrEqual" dxfId="0">
      <formula>1</formula>
    </cfRule>
    <cfRule type="cellIs" priority="492" operator="lessThan" dxfId="1">
      <formula>1</formula>
    </cfRule>
  </conditionalFormatting>
  <conditionalFormatting sqref="M25">
    <cfRule type="cellIs" priority="153" operator="greaterThanOrEqual" dxfId="0">
      <formula>1.0</formula>
    </cfRule>
    <cfRule type="cellIs" priority="154" operator="lessThan" dxfId="1">
      <formula>1.0</formula>
    </cfRule>
    <cfRule type="cellIs" priority="493" operator="greaterThanOrEqual" dxfId="0">
      <formula>1</formula>
    </cfRule>
    <cfRule type="cellIs" priority="494" operator="lessThan" dxfId="1">
      <formula>1</formula>
    </cfRule>
  </conditionalFormatting>
  <conditionalFormatting sqref="Q25">
    <cfRule type="cellIs" priority="155" operator="greaterThanOrEqual" dxfId="0">
      <formula>1.0</formula>
    </cfRule>
    <cfRule type="cellIs" priority="156" operator="lessThan" dxfId="1">
      <formula>1.0</formula>
    </cfRule>
    <cfRule type="cellIs" priority="495" operator="greaterThanOrEqual" dxfId="0">
      <formula>1</formula>
    </cfRule>
    <cfRule type="cellIs" priority="496" operator="lessThan" dxfId="1">
      <formula>1</formula>
    </cfRule>
  </conditionalFormatting>
  <conditionalFormatting sqref="U25">
    <cfRule type="cellIs" priority="157" operator="greaterThanOrEqual" dxfId="0">
      <formula>1.0</formula>
    </cfRule>
    <cfRule type="cellIs" priority="158" operator="lessThan" dxfId="1">
      <formula>1.0</formula>
    </cfRule>
    <cfRule type="cellIs" priority="497" operator="greaterThanOrEqual" dxfId="0">
      <formula>1</formula>
    </cfRule>
    <cfRule type="cellIs" priority="498" operator="lessThan" dxfId="1">
      <formula>1</formula>
    </cfRule>
  </conditionalFormatting>
  <conditionalFormatting sqref="I26">
    <cfRule type="cellIs" priority="159" operator="greaterThanOrEqual" dxfId="0">
      <formula>1.0</formula>
    </cfRule>
    <cfRule type="cellIs" priority="160" operator="lessThan" dxfId="1">
      <formula>1.0</formula>
    </cfRule>
    <cfRule type="cellIs" priority="501" operator="greaterThanOrEqual" dxfId="0">
      <formula>1</formula>
    </cfRule>
    <cfRule type="cellIs" priority="502" operator="lessThan" dxfId="1">
      <formula>1</formula>
    </cfRule>
  </conditionalFormatting>
  <conditionalFormatting sqref="M26">
    <cfRule type="cellIs" priority="161" operator="greaterThanOrEqual" dxfId="0">
      <formula>1.0</formula>
    </cfRule>
    <cfRule type="cellIs" priority="162" operator="lessThan" dxfId="1">
      <formula>1.0</formula>
    </cfRule>
    <cfRule type="cellIs" priority="503" operator="greaterThanOrEqual" dxfId="0">
      <formula>1</formula>
    </cfRule>
    <cfRule type="cellIs" priority="504" operator="lessThan" dxfId="1">
      <formula>1</formula>
    </cfRule>
  </conditionalFormatting>
  <conditionalFormatting sqref="Q26">
    <cfRule type="cellIs" priority="163" operator="greaterThanOrEqual" dxfId="0">
      <formula>1.0</formula>
    </cfRule>
    <cfRule type="cellIs" priority="164" operator="lessThan" dxfId="1">
      <formula>1.0</formula>
    </cfRule>
    <cfRule type="cellIs" priority="505" operator="greaterThanOrEqual" dxfId="0">
      <formula>1</formula>
    </cfRule>
    <cfRule type="cellIs" priority="506" operator="lessThan" dxfId="1">
      <formula>1</formula>
    </cfRule>
  </conditionalFormatting>
  <conditionalFormatting sqref="U26">
    <cfRule type="cellIs" priority="165" operator="greaterThanOrEqual" dxfId="0">
      <formula>1.0</formula>
    </cfRule>
    <cfRule type="cellIs" priority="166" operator="lessThan" dxfId="1">
      <formula>1.0</formula>
    </cfRule>
    <cfRule type="cellIs" priority="507" operator="greaterThanOrEqual" dxfId="0">
      <formula>1</formula>
    </cfRule>
    <cfRule type="cellIs" priority="508" operator="lessThan" dxfId="1">
      <formula>1</formula>
    </cfRule>
  </conditionalFormatting>
  <conditionalFormatting sqref="I27">
    <cfRule type="cellIs" priority="167" operator="greaterThanOrEqual" dxfId="0">
      <formula>1.0</formula>
    </cfRule>
    <cfRule type="cellIs" priority="168" operator="lessThan" dxfId="1">
      <formula>1.0</formula>
    </cfRule>
    <cfRule type="cellIs" priority="511" operator="greaterThanOrEqual" dxfId="0">
      <formula>1</formula>
    </cfRule>
    <cfRule type="cellIs" priority="512" operator="lessThan" dxfId="1">
      <formula>1</formula>
    </cfRule>
  </conditionalFormatting>
  <conditionalFormatting sqref="M27">
    <cfRule type="cellIs" priority="169" operator="greaterThanOrEqual" dxfId="0">
      <formula>1.0</formula>
    </cfRule>
    <cfRule type="cellIs" priority="170" operator="lessThan" dxfId="1">
      <formula>1.0</formula>
    </cfRule>
    <cfRule type="cellIs" priority="513" operator="greaterThanOrEqual" dxfId="0">
      <formula>1</formula>
    </cfRule>
    <cfRule type="cellIs" priority="514" operator="lessThan" dxfId="1">
      <formula>1</formula>
    </cfRule>
  </conditionalFormatting>
  <conditionalFormatting sqref="Q27">
    <cfRule type="cellIs" priority="171" operator="greaterThanOrEqual" dxfId="0">
      <formula>1.0</formula>
    </cfRule>
    <cfRule type="cellIs" priority="172" operator="lessThan" dxfId="1">
      <formula>1.0</formula>
    </cfRule>
    <cfRule type="cellIs" priority="515" operator="greaterThanOrEqual" dxfId="0">
      <formula>1</formula>
    </cfRule>
    <cfRule type="cellIs" priority="516" operator="lessThan" dxfId="1">
      <formula>1</formula>
    </cfRule>
  </conditionalFormatting>
  <conditionalFormatting sqref="U27">
    <cfRule type="cellIs" priority="173" operator="greaterThanOrEqual" dxfId="0">
      <formula>1.0</formula>
    </cfRule>
    <cfRule type="cellIs" priority="174" operator="lessThan" dxfId="1">
      <formula>1.0</formula>
    </cfRule>
    <cfRule type="cellIs" priority="517" operator="greaterThanOrEqual" dxfId="0">
      <formula>1</formula>
    </cfRule>
    <cfRule type="cellIs" priority="518" operator="lessThan" dxfId="1">
      <formula>1</formula>
    </cfRule>
  </conditionalFormatting>
  <conditionalFormatting sqref="I28">
    <cfRule type="cellIs" priority="175" operator="greaterThanOrEqual" dxfId="0">
      <formula>1.0</formula>
    </cfRule>
    <cfRule type="cellIs" priority="176" operator="lessThan" dxfId="1">
      <formula>1.0</formula>
    </cfRule>
    <cfRule type="cellIs" priority="521" operator="greaterThanOrEqual" dxfId="0">
      <formula>1</formula>
    </cfRule>
    <cfRule type="cellIs" priority="522" operator="lessThan" dxfId="1">
      <formula>1</formula>
    </cfRule>
  </conditionalFormatting>
  <conditionalFormatting sqref="M28">
    <cfRule type="cellIs" priority="177" operator="greaterThanOrEqual" dxfId="0">
      <formula>1.0</formula>
    </cfRule>
    <cfRule type="cellIs" priority="178" operator="lessThan" dxfId="1">
      <formula>1.0</formula>
    </cfRule>
    <cfRule type="cellIs" priority="523" operator="greaterThanOrEqual" dxfId="0">
      <formula>1</formula>
    </cfRule>
    <cfRule type="cellIs" priority="524" operator="lessThan" dxfId="1">
      <formula>1</formula>
    </cfRule>
  </conditionalFormatting>
  <conditionalFormatting sqref="Q28">
    <cfRule type="cellIs" priority="179" operator="greaterThanOrEqual" dxfId="0">
      <formula>1.0</formula>
    </cfRule>
    <cfRule type="cellIs" priority="180" operator="lessThan" dxfId="1">
      <formula>1.0</formula>
    </cfRule>
    <cfRule type="cellIs" priority="525" operator="greaterThanOrEqual" dxfId="0">
      <formula>1</formula>
    </cfRule>
    <cfRule type="cellIs" priority="526" operator="lessThan" dxfId="1">
      <formula>1</formula>
    </cfRule>
  </conditionalFormatting>
  <conditionalFormatting sqref="U28">
    <cfRule type="cellIs" priority="181" operator="greaterThanOrEqual" dxfId="0">
      <formula>1.0</formula>
    </cfRule>
    <cfRule type="cellIs" priority="182" operator="lessThan" dxfId="1">
      <formula>1.0</formula>
    </cfRule>
    <cfRule type="cellIs" priority="527" operator="greaterThanOrEqual" dxfId="0">
      <formula>1</formula>
    </cfRule>
    <cfRule type="cellIs" priority="528" operator="lessThan" dxfId="1">
      <formula>1</formula>
    </cfRule>
  </conditionalFormatting>
  <conditionalFormatting sqref="I29">
    <cfRule type="cellIs" priority="183" operator="greaterThanOrEqual" dxfId="0">
      <formula>1.0</formula>
    </cfRule>
    <cfRule type="cellIs" priority="184" operator="lessThan" dxfId="1">
      <formula>1.0</formula>
    </cfRule>
    <cfRule type="cellIs" priority="531" operator="greaterThanOrEqual" dxfId="0">
      <formula>1</formula>
    </cfRule>
    <cfRule type="cellIs" priority="532" operator="lessThan" dxfId="1">
      <formula>1</formula>
    </cfRule>
  </conditionalFormatting>
  <conditionalFormatting sqref="M29">
    <cfRule type="cellIs" priority="185" operator="greaterThanOrEqual" dxfId="0">
      <formula>1.0</formula>
    </cfRule>
    <cfRule type="cellIs" priority="186" operator="lessThan" dxfId="1">
      <formula>1.0</formula>
    </cfRule>
    <cfRule type="cellIs" priority="533" operator="greaterThanOrEqual" dxfId="0">
      <formula>1</formula>
    </cfRule>
    <cfRule type="cellIs" priority="534" operator="lessThan" dxfId="1">
      <formula>1</formula>
    </cfRule>
  </conditionalFormatting>
  <conditionalFormatting sqref="Q29">
    <cfRule type="cellIs" priority="187" operator="greaterThanOrEqual" dxfId="0">
      <formula>1.0</formula>
    </cfRule>
    <cfRule type="cellIs" priority="188" operator="lessThan" dxfId="1">
      <formula>1.0</formula>
    </cfRule>
    <cfRule type="cellIs" priority="535" operator="greaterThanOrEqual" dxfId="0">
      <formula>1</formula>
    </cfRule>
    <cfRule type="cellIs" priority="536" operator="lessThan" dxfId="1">
      <formula>1</formula>
    </cfRule>
  </conditionalFormatting>
  <conditionalFormatting sqref="U29">
    <cfRule type="cellIs" priority="189" operator="greaterThanOrEqual" dxfId="0">
      <formula>1.0</formula>
    </cfRule>
    <cfRule type="cellIs" priority="190" operator="lessThan" dxfId="1">
      <formula>1.0</formula>
    </cfRule>
    <cfRule type="cellIs" priority="537" operator="greaterThanOrEqual" dxfId="0">
      <formula>1</formula>
    </cfRule>
    <cfRule type="cellIs" priority="538" operator="lessThan" dxfId="1">
      <formula>1</formula>
    </cfRule>
  </conditionalFormatting>
  <conditionalFormatting sqref="E41">
    <cfRule type="cellIs" priority="191" operator="greaterThanOrEqual" dxfId="0">
      <formula>1.0</formula>
    </cfRule>
    <cfRule type="cellIs" priority="192" operator="lessThan" dxfId="1">
      <formula>1.0</formula>
    </cfRule>
    <cfRule type="cellIs" priority="619" operator="greaterThanOrEqual" dxfId="0">
      <formula>1</formula>
    </cfRule>
    <cfRule type="cellIs" priority="620" operator="lessThan" dxfId="1">
      <formula>1</formula>
    </cfRule>
  </conditionalFormatting>
  <conditionalFormatting sqref="I41">
    <cfRule type="cellIs" priority="193" operator="greaterThanOrEqual" dxfId="0">
      <formula>1.0</formula>
    </cfRule>
    <cfRule type="cellIs" priority="194" operator="lessThan" dxfId="1">
      <formula>1.0</formula>
    </cfRule>
    <cfRule type="cellIs" priority="611" operator="greaterThanOrEqual" dxfId="0">
      <formula>1</formula>
    </cfRule>
    <cfRule type="cellIs" priority="612" operator="lessThan" dxfId="1">
      <formula>1</formula>
    </cfRule>
  </conditionalFormatting>
  <conditionalFormatting sqref="M41">
    <cfRule type="cellIs" priority="195" operator="greaterThanOrEqual" dxfId="0">
      <formula>1.0</formula>
    </cfRule>
    <cfRule type="cellIs" priority="196" operator="lessThan" dxfId="1">
      <formula>1.0</formula>
    </cfRule>
    <cfRule type="cellIs" priority="613" operator="greaterThanOrEqual" dxfId="0">
      <formula>1</formula>
    </cfRule>
    <cfRule type="cellIs" priority="614" operator="lessThan" dxfId="1">
      <formula>1</formula>
    </cfRule>
  </conditionalFormatting>
  <conditionalFormatting sqref="Q41">
    <cfRule type="cellIs" priority="197" operator="greaterThanOrEqual" dxfId="0">
      <formula>1.0</formula>
    </cfRule>
    <cfRule type="cellIs" priority="198" operator="lessThan" dxfId="1">
      <formula>1.0</formula>
    </cfRule>
    <cfRule type="cellIs" priority="615" operator="greaterThanOrEqual" dxfId="0">
      <formula>1</formula>
    </cfRule>
    <cfRule type="cellIs" priority="616" operator="lessThan" dxfId="1">
      <formula>1</formula>
    </cfRule>
  </conditionalFormatting>
  <conditionalFormatting sqref="U41">
    <cfRule type="cellIs" priority="199" operator="greaterThanOrEqual" dxfId="0">
      <formula>1.0</formula>
    </cfRule>
    <cfRule type="cellIs" priority="200" operator="lessThan" dxfId="1">
      <formula>1.0</formula>
    </cfRule>
    <cfRule type="cellIs" priority="617" operator="greaterThanOrEqual" dxfId="0">
      <formula>1</formula>
    </cfRule>
    <cfRule type="cellIs" priority="618" operator="lessThan" dxfId="1">
      <formula>1</formula>
    </cfRule>
  </conditionalFormatting>
  <conditionalFormatting sqref="E42">
    <cfRule type="cellIs" priority="201" operator="greaterThanOrEqual" dxfId="0">
      <formula>1.0</formula>
    </cfRule>
    <cfRule type="cellIs" priority="202" operator="lessThan" dxfId="1">
      <formula>1.0</formula>
    </cfRule>
    <cfRule type="cellIs" priority="629" operator="greaterThanOrEqual" dxfId="0">
      <formula>1</formula>
    </cfRule>
    <cfRule type="cellIs" priority="630" operator="lessThan" dxfId="1">
      <formula>1</formula>
    </cfRule>
  </conditionalFormatting>
  <conditionalFormatting sqref="I42">
    <cfRule type="cellIs" priority="203" operator="greaterThanOrEqual" dxfId="0">
      <formula>1.0</formula>
    </cfRule>
    <cfRule type="cellIs" priority="204" operator="lessThan" dxfId="1">
      <formula>1.0</formula>
    </cfRule>
    <cfRule type="cellIs" priority="621" operator="greaterThanOrEqual" dxfId="0">
      <formula>1</formula>
    </cfRule>
    <cfRule type="cellIs" priority="622" operator="lessThan" dxfId="1">
      <formula>1</formula>
    </cfRule>
  </conditionalFormatting>
  <conditionalFormatting sqref="M42">
    <cfRule type="cellIs" priority="205" operator="greaterThanOrEqual" dxfId="0">
      <formula>1.0</formula>
    </cfRule>
    <cfRule type="cellIs" priority="206" operator="lessThan" dxfId="1">
      <formula>1.0</formula>
    </cfRule>
    <cfRule type="cellIs" priority="623" operator="greaterThanOrEqual" dxfId="0">
      <formula>1</formula>
    </cfRule>
    <cfRule type="cellIs" priority="624" operator="lessThan" dxfId="1">
      <formula>1</formula>
    </cfRule>
  </conditionalFormatting>
  <conditionalFormatting sqref="Q42">
    <cfRule type="cellIs" priority="207" operator="greaterThanOrEqual" dxfId="0">
      <formula>1.0</formula>
    </cfRule>
    <cfRule type="cellIs" priority="208" operator="lessThan" dxfId="1">
      <formula>1.0</formula>
    </cfRule>
    <cfRule type="cellIs" priority="625" operator="greaterThanOrEqual" dxfId="0">
      <formula>1</formula>
    </cfRule>
    <cfRule type="cellIs" priority="626" operator="lessThan" dxfId="1">
      <formula>1</formula>
    </cfRule>
  </conditionalFormatting>
  <conditionalFormatting sqref="U42">
    <cfRule type="cellIs" priority="209" operator="greaterThanOrEqual" dxfId="0">
      <formula>1.0</formula>
    </cfRule>
    <cfRule type="cellIs" priority="210" operator="lessThan" dxfId="1">
      <formula>1.0</formula>
    </cfRule>
    <cfRule type="cellIs" priority="627" operator="greaterThanOrEqual" dxfId="0">
      <formula>1</formula>
    </cfRule>
    <cfRule type="cellIs" priority="628" operator="lessThan" dxfId="1">
      <formula>1</formula>
    </cfRule>
  </conditionalFormatting>
  <conditionalFormatting sqref="E43">
    <cfRule type="cellIs" priority="211" operator="greaterThanOrEqual" dxfId="0">
      <formula>1.0</formula>
    </cfRule>
    <cfRule type="cellIs" priority="212" operator="lessThan" dxfId="1">
      <formula>1.0</formula>
    </cfRule>
    <cfRule type="cellIs" priority="639" operator="greaterThanOrEqual" dxfId="0">
      <formula>1</formula>
    </cfRule>
    <cfRule type="cellIs" priority="640" operator="lessThan" dxfId="1">
      <formula>1</formula>
    </cfRule>
  </conditionalFormatting>
  <conditionalFormatting sqref="I43">
    <cfRule type="cellIs" priority="213" operator="greaterThanOrEqual" dxfId="0">
      <formula>1.0</formula>
    </cfRule>
    <cfRule type="cellIs" priority="214" operator="lessThan" dxfId="1">
      <formula>1.0</formula>
    </cfRule>
    <cfRule type="cellIs" priority="631" operator="greaterThanOrEqual" dxfId="0">
      <formula>1</formula>
    </cfRule>
    <cfRule type="cellIs" priority="632" operator="lessThan" dxfId="1">
      <formula>1</formula>
    </cfRule>
  </conditionalFormatting>
  <conditionalFormatting sqref="M43">
    <cfRule type="cellIs" priority="215" operator="greaterThanOrEqual" dxfId="0">
      <formula>1.0</formula>
    </cfRule>
    <cfRule type="cellIs" priority="216" operator="lessThan" dxfId="1">
      <formula>1.0</formula>
    </cfRule>
    <cfRule type="cellIs" priority="633" operator="greaterThanOrEqual" dxfId="0">
      <formula>1</formula>
    </cfRule>
    <cfRule type="cellIs" priority="634" operator="lessThan" dxfId="1">
      <formula>1</formula>
    </cfRule>
  </conditionalFormatting>
  <conditionalFormatting sqref="Q43">
    <cfRule type="cellIs" priority="217" operator="greaterThanOrEqual" dxfId="0">
      <formula>1.0</formula>
    </cfRule>
    <cfRule type="cellIs" priority="218" operator="lessThan" dxfId="1">
      <formula>1.0</formula>
    </cfRule>
    <cfRule type="cellIs" priority="635" operator="greaterThanOrEqual" dxfId="0">
      <formula>1</formula>
    </cfRule>
    <cfRule type="cellIs" priority="636" operator="lessThan" dxfId="1">
      <formula>1</formula>
    </cfRule>
  </conditionalFormatting>
  <conditionalFormatting sqref="U43">
    <cfRule type="cellIs" priority="219" operator="greaterThanOrEqual" dxfId="0">
      <formula>1.0</formula>
    </cfRule>
    <cfRule type="cellIs" priority="220" operator="lessThan" dxfId="1">
      <formula>1.0</formula>
    </cfRule>
    <cfRule type="cellIs" priority="637" operator="greaterThanOrEqual" dxfId="0">
      <formula>1</formula>
    </cfRule>
    <cfRule type="cellIs" priority="638" operator="lessThan" dxfId="1">
      <formula>1</formula>
    </cfRule>
  </conditionalFormatting>
  <conditionalFormatting sqref="E44">
    <cfRule type="cellIs" priority="221" operator="greaterThanOrEqual" dxfId="0">
      <formula>1.0</formula>
    </cfRule>
    <cfRule type="cellIs" priority="222" operator="lessThan" dxfId="1">
      <formula>1.0</formula>
    </cfRule>
    <cfRule type="cellIs" priority="649" operator="greaterThanOrEqual" dxfId="0">
      <formula>1</formula>
    </cfRule>
    <cfRule type="cellIs" priority="650" operator="lessThan" dxfId="1">
      <formula>1</formula>
    </cfRule>
  </conditionalFormatting>
  <conditionalFormatting sqref="I44">
    <cfRule type="cellIs" priority="223" operator="greaterThanOrEqual" dxfId="0">
      <formula>1.0</formula>
    </cfRule>
    <cfRule type="cellIs" priority="224" operator="lessThan" dxfId="1">
      <formula>1.0</formula>
    </cfRule>
    <cfRule type="cellIs" priority="641" operator="greaterThanOrEqual" dxfId="0">
      <formula>1</formula>
    </cfRule>
    <cfRule type="cellIs" priority="642" operator="lessThan" dxfId="1">
      <formula>1</formula>
    </cfRule>
  </conditionalFormatting>
  <conditionalFormatting sqref="M44">
    <cfRule type="cellIs" priority="225" operator="greaterThanOrEqual" dxfId="0">
      <formula>1.0</formula>
    </cfRule>
    <cfRule type="cellIs" priority="226" operator="lessThan" dxfId="1">
      <formula>1.0</formula>
    </cfRule>
    <cfRule type="cellIs" priority="643" operator="greaterThanOrEqual" dxfId="0">
      <formula>1</formula>
    </cfRule>
    <cfRule type="cellIs" priority="644" operator="lessThan" dxfId="1">
      <formula>1</formula>
    </cfRule>
  </conditionalFormatting>
  <conditionalFormatting sqref="Q44">
    <cfRule type="cellIs" priority="227" operator="greaterThanOrEqual" dxfId="0">
      <formula>1.0</formula>
    </cfRule>
    <cfRule type="cellIs" priority="228" operator="lessThan" dxfId="1">
      <formula>1.0</formula>
    </cfRule>
    <cfRule type="cellIs" priority="645" operator="greaterThanOrEqual" dxfId="0">
      <formula>1</formula>
    </cfRule>
    <cfRule type="cellIs" priority="646" operator="lessThan" dxfId="1">
      <formula>1</formula>
    </cfRule>
  </conditionalFormatting>
  <conditionalFormatting sqref="U44">
    <cfRule type="cellIs" priority="229" operator="greaterThanOrEqual" dxfId="0">
      <formula>1.0</formula>
    </cfRule>
    <cfRule type="cellIs" priority="230" operator="lessThan" dxfId="1">
      <formula>1.0</formula>
    </cfRule>
    <cfRule type="cellIs" priority="647" operator="greaterThanOrEqual" dxfId="0">
      <formula>1</formula>
    </cfRule>
    <cfRule type="cellIs" priority="648" operator="lessThan" dxfId="1">
      <formula>1</formula>
    </cfRule>
  </conditionalFormatting>
  <conditionalFormatting sqref="E48">
    <cfRule type="cellIs" priority="231" operator="equal" dxfId="0">
      <formula>"Выполнено"</formula>
    </cfRule>
    <cfRule type="cellIs" priority="232" operator="equal" dxfId="1">
      <formula>"Блокер"</formula>
    </cfRule>
    <cfRule type="cellIs" priority="233" operator="equal" dxfId="2">
      <formula>"В работе"</formula>
    </cfRule>
  </conditionalFormatting>
  <conditionalFormatting sqref="G48">
    <cfRule type="cellIs" priority="234" operator="equal" dxfId="0">
      <formula>"Выполнено"</formula>
    </cfRule>
    <cfRule type="cellIs" priority="235" operator="equal" dxfId="1">
      <formula>"Блокер"</formula>
    </cfRule>
    <cfRule type="cellIs" priority="236" operator="equal" dxfId="2">
      <formula>"В работе"</formula>
    </cfRule>
  </conditionalFormatting>
  <conditionalFormatting sqref="I48">
    <cfRule type="cellIs" priority="237" operator="equal" dxfId="0">
      <formula>"Выполнено"</formula>
    </cfRule>
    <cfRule type="cellIs" priority="238" operator="equal" dxfId="1">
      <formula>"Блокер"</formula>
    </cfRule>
    <cfRule type="cellIs" priority="239" operator="equal" dxfId="2">
      <formula>"В работе"</formula>
    </cfRule>
  </conditionalFormatting>
  <conditionalFormatting sqref="K48">
    <cfRule type="cellIs" priority="240" operator="equal" dxfId="0">
      <formula>"Выполнено"</formula>
    </cfRule>
    <cfRule type="cellIs" priority="241" operator="equal" dxfId="1">
      <formula>"Блокер"</formula>
    </cfRule>
    <cfRule type="cellIs" priority="242" operator="equal" dxfId="2">
      <formula>"В работе"</formula>
    </cfRule>
  </conditionalFormatting>
  <conditionalFormatting sqref="E49">
    <cfRule type="cellIs" priority="243" operator="equal" dxfId="0">
      <formula>"Выполнено"</formula>
    </cfRule>
    <cfRule type="cellIs" priority="244" operator="equal" dxfId="1">
      <formula>"Блокер"</formula>
    </cfRule>
    <cfRule type="cellIs" priority="245" operator="equal" dxfId="2">
      <formula>"В работе"</formula>
    </cfRule>
  </conditionalFormatting>
  <conditionalFormatting sqref="G49">
    <cfRule type="cellIs" priority="246" operator="equal" dxfId="0">
      <formula>"Выполнено"</formula>
    </cfRule>
    <cfRule type="cellIs" priority="247" operator="equal" dxfId="1">
      <formula>"Блокер"</formula>
    </cfRule>
    <cfRule type="cellIs" priority="248" operator="equal" dxfId="2">
      <formula>"В работе"</formula>
    </cfRule>
  </conditionalFormatting>
  <conditionalFormatting sqref="I49">
    <cfRule type="cellIs" priority="249" operator="equal" dxfId="0">
      <formula>"Выполнено"</formula>
    </cfRule>
    <cfRule type="cellIs" priority="250" operator="equal" dxfId="1">
      <formula>"Блокер"</formula>
    </cfRule>
    <cfRule type="cellIs" priority="251" operator="equal" dxfId="2">
      <formula>"В работе"</formula>
    </cfRule>
  </conditionalFormatting>
  <conditionalFormatting sqref="K49">
    <cfRule type="cellIs" priority="252" operator="equal" dxfId="0">
      <formula>"Выполнено"</formula>
    </cfRule>
    <cfRule type="cellIs" priority="253" operator="equal" dxfId="1">
      <formula>"Блокер"</formula>
    </cfRule>
    <cfRule type="cellIs" priority="254" operator="equal" dxfId="2">
      <formula>"В работе"</formula>
    </cfRule>
  </conditionalFormatting>
  <conditionalFormatting sqref="E50">
    <cfRule type="cellIs" priority="255" operator="equal" dxfId="0">
      <formula>"Выполнено"</formula>
    </cfRule>
    <cfRule type="cellIs" priority="256" operator="equal" dxfId="1">
      <formula>"Блокер"</formula>
    </cfRule>
    <cfRule type="cellIs" priority="257" operator="equal" dxfId="2">
      <formula>"В работе"</formula>
    </cfRule>
  </conditionalFormatting>
  <conditionalFormatting sqref="G50">
    <cfRule type="cellIs" priority="258" operator="equal" dxfId="0">
      <formula>"Выполнено"</formula>
    </cfRule>
    <cfRule type="cellIs" priority="259" operator="equal" dxfId="1">
      <formula>"Блокер"</formula>
    </cfRule>
    <cfRule type="cellIs" priority="260" operator="equal" dxfId="2">
      <formula>"В работе"</formula>
    </cfRule>
  </conditionalFormatting>
  <conditionalFormatting sqref="I50">
    <cfRule type="cellIs" priority="261" operator="equal" dxfId="0">
      <formula>"Выполнено"</formula>
    </cfRule>
    <cfRule type="cellIs" priority="262" operator="equal" dxfId="1">
      <formula>"Блокер"</formula>
    </cfRule>
    <cfRule type="cellIs" priority="263" operator="equal" dxfId="2">
      <formula>"В работе"</formula>
    </cfRule>
  </conditionalFormatting>
  <conditionalFormatting sqref="K50">
    <cfRule type="cellIs" priority="264" operator="equal" dxfId="0">
      <formula>"Выполнено"</formula>
    </cfRule>
    <cfRule type="cellIs" priority="265" operator="equal" dxfId="1">
      <formula>"Блокер"</formula>
    </cfRule>
    <cfRule type="cellIs" priority="266" operator="equal" dxfId="2">
      <formula>"В работе"</formula>
    </cfRule>
  </conditionalFormatting>
  <conditionalFormatting sqref="E51">
    <cfRule type="cellIs" priority="267" operator="equal" dxfId="0">
      <formula>"Выполнено"</formula>
    </cfRule>
    <cfRule type="cellIs" priority="268" operator="equal" dxfId="1">
      <formula>"Блокер"</formula>
    </cfRule>
    <cfRule type="cellIs" priority="269" operator="equal" dxfId="2">
      <formula>"В работе"</formula>
    </cfRule>
  </conditionalFormatting>
  <conditionalFormatting sqref="G51">
    <cfRule type="cellIs" priority="270" operator="equal" dxfId="0">
      <formula>"Выполнено"</formula>
    </cfRule>
    <cfRule type="cellIs" priority="271" operator="equal" dxfId="1">
      <formula>"Блокер"</formula>
    </cfRule>
    <cfRule type="cellIs" priority="272" operator="equal" dxfId="2">
      <formula>"В работе"</formula>
    </cfRule>
  </conditionalFormatting>
  <conditionalFormatting sqref="I51">
    <cfRule type="cellIs" priority="273" operator="equal" dxfId="0">
      <formula>"Выполнено"</formula>
    </cfRule>
    <cfRule type="cellIs" priority="274" operator="equal" dxfId="1">
      <formula>"Блокер"</formula>
    </cfRule>
    <cfRule type="cellIs" priority="275" operator="equal" dxfId="2">
      <formula>"В работе"</formula>
    </cfRule>
  </conditionalFormatting>
  <conditionalFormatting sqref="K51">
    <cfRule type="cellIs" priority="276" operator="equal" dxfId="0">
      <formula>"Выполнено"</formula>
    </cfRule>
    <cfRule type="cellIs" priority="277" operator="equal" dxfId="1">
      <formula>"Блокер"</formula>
    </cfRule>
    <cfRule type="cellIs" priority="278" operator="equal" dxfId="2">
      <formula>"В работе"</formula>
    </cfRule>
  </conditionalFormatting>
  <conditionalFormatting sqref="E52">
    <cfRule type="cellIs" priority="279" operator="equal" dxfId="0">
      <formula>"Выполнено"</formula>
    </cfRule>
    <cfRule type="cellIs" priority="280" operator="equal" dxfId="1">
      <formula>"Блокер"</formula>
    </cfRule>
    <cfRule type="cellIs" priority="281" operator="equal" dxfId="2">
      <formula>"В работе"</formula>
    </cfRule>
  </conditionalFormatting>
  <conditionalFormatting sqref="G52">
    <cfRule type="cellIs" priority="282" operator="equal" dxfId="0">
      <formula>"Выполнено"</formula>
    </cfRule>
    <cfRule type="cellIs" priority="283" operator="equal" dxfId="1">
      <formula>"Блокер"</formula>
    </cfRule>
    <cfRule type="cellIs" priority="284" operator="equal" dxfId="2">
      <formula>"В работе"</formula>
    </cfRule>
  </conditionalFormatting>
  <conditionalFormatting sqref="I52">
    <cfRule type="cellIs" priority="285" operator="equal" dxfId="0">
      <formula>"Выполнено"</formula>
    </cfRule>
    <cfRule type="cellIs" priority="286" operator="equal" dxfId="1">
      <formula>"Блокер"</formula>
    </cfRule>
    <cfRule type="cellIs" priority="287" operator="equal" dxfId="2">
      <formula>"В работе"</formula>
    </cfRule>
  </conditionalFormatting>
  <conditionalFormatting sqref="K52">
    <cfRule type="cellIs" priority="288" operator="equal" dxfId="0">
      <formula>"Выполнено"</formula>
    </cfRule>
    <cfRule type="cellIs" priority="289" operator="equal" dxfId="1">
      <formula>"Блокер"</formula>
    </cfRule>
    <cfRule type="cellIs" priority="290" operator="equal" dxfId="2">
      <formula>"В работе"</formula>
    </cfRule>
  </conditionalFormatting>
  <conditionalFormatting sqref="E53">
    <cfRule type="cellIs" priority="291" operator="equal" dxfId="0">
      <formula>"Выполнено"</formula>
    </cfRule>
    <cfRule type="cellIs" priority="292" operator="equal" dxfId="1">
      <formula>"Блокер"</formula>
    </cfRule>
    <cfRule type="cellIs" priority="293" operator="equal" dxfId="2">
      <formula>"В работе"</formula>
    </cfRule>
  </conditionalFormatting>
  <conditionalFormatting sqref="G53">
    <cfRule type="cellIs" priority="294" operator="equal" dxfId="0">
      <formula>"Выполнено"</formula>
    </cfRule>
    <cfRule type="cellIs" priority="295" operator="equal" dxfId="1">
      <formula>"Блокер"</formula>
    </cfRule>
    <cfRule type="cellIs" priority="296" operator="equal" dxfId="2">
      <formula>"В работе"</formula>
    </cfRule>
  </conditionalFormatting>
  <conditionalFormatting sqref="I53">
    <cfRule type="cellIs" priority="297" operator="equal" dxfId="0">
      <formula>"Выполнено"</formula>
    </cfRule>
    <cfRule type="cellIs" priority="298" operator="equal" dxfId="1">
      <formula>"Блокер"</formula>
    </cfRule>
    <cfRule type="cellIs" priority="299" operator="equal" dxfId="2">
      <formula>"В работе"</formula>
    </cfRule>
  </conditionalFormatting>
  <conditionalFormatting sqref="K53">
    <cfRule type="cellIs" priority="300" operator="equal" dxfId="0">
      <formula>"Выполнено"</formula>
    </cfRule>
    <cfRule type="cellIs" priority="301" operator="equal" dxfId="1">
      <formula>"Блокер"</formula>
    </cfRule>
    <cfRule type="cellIs" priority="302" operator="equal" dxfId="2">
      <formula>"В работе"</formula>
    </cfRule>
  </conditionalFormatting>
  <conditionalFormatting sqref="E54">
    <cfRule type="cellIs" priority="303" operator="equal" dxfId="0">
      <formula>"Выполнено"</formula>
    </cfRule>
    <cfRule type="cellIs" priority="304" operator="equal" dxfId="1">
      <formula>"Блокер"</formula>
    </cfRule>
    <cfRule type="cellIs" priority="305" operator="equal" dxfId="2">
      <formula>"В работе"</formula>
    </cfRule>
  </conditionalFormatting>
  <conditionalFormatting sqref="G54">
    <cfRule type="cellIs" priority="306" operator="equal" dxfId="0">
      <formula>"Выполнено"</formula>
    </cfRule>
    <cfRule type="cellIs" priority="307" operator="equal" dxfId="1">
      <formula>"Блокер"</formula>
    </cfRule>
    <cfRule type="cellIs" priority="308" operator="equal" dxfId="2">
      <formula>"В работе"</formula>
    </cfRule>
  </conditionalFormatting>
  <conditionalFormatting sqref="I54">
    <cfRule type="cellIs" priority="309" operator="equal" dxfId="0">
      <formula>"Выполнено"</formula>
    </cfRule>
    <cfRule type="cellIs" priority="310" operator="equal" dxfId="1">
      <formula>"Блокер"</formula>
    </cfRule>
    <cfRule type="cellIs" priority="311" operator="equal" dxfId="2">
      <formula>"В работе"</formula>
    </cfRule>
  </conditionalFormatting>
  <conditionalFormatting sqref="K54">
    <cfRule type="cellIs" priority="312" operator="equal" dxfId="0">
      <formula>"Выполнено"</formula>
    </cfRule>
    <cfRule type="cellIs" priority="313" operator="equal" dxfId="1">
      <formula>"Блокер"</formula>
    </cfRule>
    <cfRule type="cellIs" priority="314" operator="equal" dxfId="2">
      <formula>"В работе"</formula>
    </cfRule>
  </conditionalFormatting>
  <conditionalFormatting sqref="E55">
    <cfRule type="cellIs" priority="315" operator="equal" dxfId="0">
      <formula>"Выполнено"</formula>
    </cfRule>
    <cfRule type="cellIs" priority="316" operator="equal" dxfId="1">
      <formula>"Блокер"</formula>
    </cfRule>
    <cfRule type="cellIs" priority="317" operator="equal" dxfId="2">
      <formula>"В работе"</formula>
    </cfRule>
  </conditionalFormatting>
  <conditionalFormatting sqref="G55">
    <cfRule type="cellIs" priority="318" operator="equal" dxfId="0">
      <formula>"Выполнено"</formula>
    </cfRule>
    <cfRule type="cellIs" priority="319" operator="equal" dxfId="1">
      <formula>"Блокер"</formula>
    </cfRule>
    <cfRule type="cellIs" priority="320" operator="equal" dxfId="2">
      <formula>"В работе"</formula>
    </cfRule>
  </conditionalFormatting>
  <conditionalFormatting sqref="I55">
    <cfRule type="cellIs" priority="321" operator="equal" dxfId="0">
      <formula>"Выполнено"</formula>
    </cfRule>
    <cfRule type="cellIs" priority="322" operator="equal" dxfId="1">
      <formula>"Блокер"</formula>
    </cfRule>
    <cfRule type="cellIs" priority="323" operator="equal" dxfId="2">
      <formula>"В работе"</formula>
    </cfRule>
  </conditionalFormatting>
  <conditionalFormatting sqref="K55">
    <cfRule type="cellIs" priority="324" operator="equal" dxfId="0">
      <formula>"Выполнено"</formula>
    </cfRule>
    <cfRule type="cellIs" priority="325" operator="equal" dxfId="1">
      <formula>"Блокер"</formula>
    </cfRule>
    <cfRule type="cellIs" priority="326" operator="equal" dxfId="2">
      <formula>"В работе"</formula>
    </cfRule>
  </conditionalFormatting>
  <conditionalFormatting sqref="E56">
    <cfRule type="cellIs" priority="327" operator="equal" dxfId="0">
      <formula>"Выполнено"</formula>
    </cfRule>
    <cfRule type="cellIs" priority="328" operator="equal" dxfId="1">
      <formula>"Блокер"</formula>
    </cfRule>
    <cfRule type="cellIs" priority="329" operator="equal" dxfId="2">
      <formula>"В работе"</formula>
    </cfRule>
  </conditionalFormatting>
  <conditionalFormatting sqref="G56">
    <cfRule type="cellIs" priority="330" operator="equal" dxfId="0">
      <formula>"Выполнено"</formula>
    </cfRule>
    <cfRule type="cellIs" priority="331" operator="equal" dxfId="1">
      <formula>"Блокер"</formula>
    </cfRule>
    <cfRule type="cellIs" priority="332" operator="equal" dxfId="2">
      <formula>"В работе"</formula>
    </cfRule>
  </conditionalFormatting>
  <conditionalFormatting sqref="I56">
    <cfRule type="cellIs" priority="333" operator="equal" dxfId="0">
      <formula>"Выполнено"</formula>
    </cfRule>
    <cfRule type="cellIs" priority="334" operator="equal" dxfId="1">
      <formula>"Блокер"</formula>
    </cfRule>
    <cfRule type="cellIs" priority="335" operator="equal" dxfId="2">
      <formula>"В работе"</formula>
    </cfRule>
  </conditionalFormatting>
  <conditionalFormatting sqref="K56">
    <cfRule type="cellIs" priority="336" operator="equal" dxfId="0">
      <formula>"Выполнено"</formula>
    </cfRule>
    <cfRule type="cellIs" priority="337" operator="equal" dxfId="1">
      <formula>"Блокер"</formula>
    </cfRule>
    <cfRule type="cellIs" priority="338" operator="equal" dxfId="2">
      <formula>"В работе"</formula>
    </cfRule>
  </conditionalFormatting>
  <conditionalFormatting sqref="E57">
    <cfRule type="cellIs" priority="339" operator="equal" dxfId="0">
      <formula>"Выполнено"</formula>
    </cfRule>
    <cfRule type="cellIs" priority="340" operator="equal" dxfId="1">
      <formula>"Блокер"</formula>
    </cfRule>
    <cfRule type="cellIs" priority="341" operator="equal" dxfId="2">
      <formula>"В работе"</formula>
    </cfRule>
  </conditionalFormatting>
  <conditionalFormatting sqref="G57">
    <cfRule type="cellIs" priority="342" operator="equal" dxfId="0">
      <formula>"Выполнено"</formula>
    </cfRule>
    <cfRule type="cellIs" priority="343" operator="equal" dxfId="1">
      <formula>"Блокер"</formula>
    </cfRule>
    <cfRule type="cellIs" priority="344" operator="equal" dxfId="2">
      <formula>"В работе"</formula>
    </cfRule>
  </conditionalFormatting>
  <conditionalFormatting sqref="I57">
    <cfRule type="cellIs" priority="345" operator="equal" dxfId="0">
      <formula>"Выполнено"</formula>
    </cfRule>
    <cfRule type="cellIs" priority="346" operator="equal" dxfId="1">
      <formula>"Блокер"</formula>
    </cfRule>
    <cfRule type="cellIs" priority="347" operator="equal" dxfId="2">
      <formula>"В работе"</formula>
    </cfRule>
  </conditionalFormatting>
  <conditionalFormatting sqref="K57">
    <cfRule type="cellIs" priority="348" operator="equal" dxfId="0">
      <formula>"Выполнено"</formula>
    </cfRule>
    <cfRule type="cellIs" priority="349" operator="equal" dxfId="1">
      <formula>"Блокер"</formula>
    </cfRule>
    <cfRule type="cellIs" priority="350" operator="equal" dxfId="2">
      <formula>"В работе"</formula>
    </cfRule>
  </conditionalFormatting>
  <conditionalFormatting sqref="I32">
    <cfRule type="cellIs" priority="541" operator="greaterThanOrEqual" dxfId="0">
      <formula>1</formula>
    </cfRule>
    <cfRule type="cellIs" priority="542" operator="lessThan" dxfId="1">
      <formula>1</formula>
    </cfRule>
  </conditionalFormatting>
  <conditionalFormatting sqref="M32">
    <cfRule type="cellIs" priority="543" operator="greaterThanOrEqual" dxfId="0">
      <formula>1</formula>
    </cfRule>
    <cfRule type="cellIs" priority="544" operator="lessThan" dxfId="1">
      <formula>1</formula>
    </cfRule>
  </conditionalFormatting>
  <conditionalFormatting sqref="Q32">
    <cfRule type="cellIs" priority="545" operator="greaterThanOrEqual" dxfId="0">
      <formula>1</formula>
    </cfRule>
    <cfRule type="cellIs" priority="546" operator="lessThan" dxfId="1">
      <formula>1</formula>
    </cfRule>
  </conditionalFormatting>
  <conditionalFormatting sqref="U32">
    <cfRule type="cellIs" priority="547" operator="greaterThanOrEqual" dxfId="0">
      <formula>1</formula>
    </cfRule>
    <cfRule type="cellIs" priority="548" operator="lessThan" dxfId="1">
      <formula>1</formula>
    </cfRule>
  </conditionalFormatting>
  <conditionalFormatting sqref="E32">
    <cfRule type="cellIs" priority="549" operator="greaterThanOrEqual" dxfId="0">
      <formula>1</formula>
    </cfRule>
    <cfRule type="cellIs" priority="550" operator="lessThan" dxfId="1">
      <formula>1</formula>
    </cfRule>
  </conditionalFormatting>
  <conditionalFormatting sqref="I33">
    <cfRule type="cellIs" priority="551" operator="greaterThanOrEqual" dxfId="0">
      <formula>1</formula>
    </cfRule>
    <cfRule type="cellIs" priority="552" operator="lessThan" dxfId="1">
      <formula>1</formula>
    </cfRule>
  </conditionalFormatting>
  <conditionalFormatting sqref="M33">
    <cfRule type="cellIs" priority="553" operator="greaterThanOrEqual" dxfId="0">
      <formula>1</formula>
    </cfRule>
    <cfRule type="cellIs" priority="554" operator="lessThan" dxfId="1">
      <formula>1</formula>
    </cfRule>
  </conditionalFormatting>
  <conditionalFormatting sqref="Q33">
    <cfRule type="cellIs" priority="555" operator="greaterThanOrEqual" dxfId="0">
      <formula>1</formula>
    </cfRule>
    <cfRule type="cellIs" priority="556" operator="lessThan" dxfId="1">
      <formula>1</formula>
    </cfRule>
  </conditionalFormatting>
  <conditionalFormatting sqref="U33">
    <cfRule type="cellIs" priority="557" operator="greaterThanOrEqual" dxfId="0">
      <formula>1</formula>
    </cfRule>
    <cfRule type="cellIs" priority="558" operator="lessThan" dxfId="1">
      <formula>1</formula>
    </cfRule>
  </conditionalFormatting>
  <conditionalFormatting sqref="E33">
    <cfRule type="cellIs" priority="559" operator="greaterThanOrEqual" dxfId="0">
      <formula>1</formula>
    </cfRule>
    <cfRule type="cellIs" priority="560" operator="lessThan" dxfId="1">
      <formula>1</formula>
    </cfRule>
  </conditionalFormatting>
  <conditionalFormatting sqref="I34">
    <cfRule type="cellIs" priority="561" operator="greaterThanOrEqual" dxfId="0">
      <formula>1</formula>
    </cfRule>
    <cfRule type="cellIs" priority="562" operator="lessThan" dxfId="1">
      <formula>1</formula>
    </cfRule>
  </conditionalFormatting>
  <conditionalFormatting sqref="M34">
    <cfRule type="cellIs" priority="563" operator="greaterThanOrEqual" dxfId="0">
      <formula>1</formula>
    </cfRule>
    <cfRule type="cellIs" priority="564" operator="lessThan" dxfId="1">
      <formula>1</formula>
    </cfRule>
  </conditionalFormatting>
  <conditionalFormatting sqref="Q34">
    <cfRule type="cellIs" priority="565" operator="greaterThanOrEqual" dxfId="0">
      <formula>1</formula>
    </cfRule>
    <cfRule type="cellIs" priority="566" operator="lessThan" dxfId="1">
      <formula>1</formula>
    </cfRule>
  </conditionalFormatting>
  <conditionalFormatting sqref="U34">
    <cfRule type="cellIs" priority="567" operator="greaterThanOrEqual" dxfId="0">
      <formula>1</formula>
    </cfRule>
    <cfRule type="cellIs" priority="568" operator="lessThan" dxfId="1">
      <formula>1</formula>
    </cfRule>
  </conditionalFormatting>
  <conditionalFormatting sqref="E34">
    <cfRule type="cellIs" priority="569" operator="greaterThanOrEqual" dxfId="0">
      <formula>1</formula>
    </cfRule>
    <cfRule type="cellIs" priority="570" operator="lessThan" dxfId="1">
      <formula>1</formula>
    </cfRule>
  </conditionalFormatting>
  <conditionalFormatting sqref="I35">
    <cfRule type="cellIs" priority="571" operator="greaterThanOrEqual" dxfId="0">
      <formula>1</formula>
    </cfRule>
    <cfRule type="cellIs" priority="572" operator="lessThan" dxfId="1">
      <formula>1</formula>
    </cfRule>
  </conditionalFormatting>
  <conditionalFormatting sqref="M35">
    <cfRule type="cellIs" priority="573" operator="greaterThanOrEqual" dxfId="0">
      <formula>1</formula>
    </cfRule>
    <cfRule type="cellIs" priority="574" operator="lessThan" dxfId="1">
      <formula>1</formula>
    </cfRule>
  </conditionalFormatting>
  <conditionalFormatting sqref="Q35">
    <cfRule type="cellIs" priority="575" operator="greaterThanOrEqual" dxfId="0">
      <formula>1</formula>
    </cfRule>
    <cfRule type="cellIs" priority="576" operator="lessThan" dxfId="1">
      <formula>1</formula>
    </cfRule>
  </conditionalFormatting>
  <conditionalFormatting sqref="U35">
    <cfRule type="cellIs" priority="577" operator="greaterThanOrEqual" dxfId="0">
      <formula>1</formula>
    </cfRule>
    <cfRule type="cellIs" priority="578" operator="lessThan" dxfId="1">
      <formula>1</formula>
    </cfRule>
  </conditionalFormatting>
  <conditionalFormatting sqref="E35">
    <cfRule type="cellIs" priority="579" operator="greaterThanOrEqual" dxfId="0">
      <formula>1</formula>
    </cfRule>
    <cfRule type="cellIs" priority="580" operator="lessThan" dxfId="1">
      <formula>1</formula>
    </cfRule>
  </conditionalFormatting>
  <conditionalFormatting sqref="I36">
    <cfRule type="cellIs" priority="581" operator="greaterThanOrEqual" dxfId="0">
      <formula>1</formula>
    </cfRule>
    <cfRule type="cellIs" priority="582" operator="lessThan" dxfId="1">
      <formula>1</formula>
    </cfRule>
  </conditionalFormatting>
  <conditionalFormatting sqref="M36">
    <cfRule type="cellIs" priority="583" operator="greaterThanOrEqual" dxfId="0">
      <formula>1</formula>
    </cfRule>
    <cfRule type="cellIs" priority="584" operator="lessThan" dxfId="1">
      <formula>1</formula>
    </cfRule>
  </conditionalFormatting>
  <conditionalFormatting sqref="Q36">
    <cfRule type="cellIs" priority="585" operator="greaterThanOrEqual" dxfId="0">
      <formula>1</formula>
    </cfRule>
    <cfRule type="cellIs" priority="586" operator="lessThan" dxfId="1">
      <formula>1</formula>
    </cfRule>
  </conditionalFormatting>
  <conditionalFormatting sqref="U36">
    <cfRule type="cellIs" priority="587" operator="greaterThanOrEqual" dxfId="0">
      <formula>1</formula>
    </cfRule>
    <cfRule type="cellIs" priority="588" operator="lessThan" dxfId="1">
      <formula>1</formula>
    </cfRule>
  </conditionalFormatting>
  <conditionalFormatting sqref="E36">
    <cfRule type="cellIs" priority="589" operator="greaterThanOrEqual" dxfId="0">
      <formula>1</formula>
    </cfRule>
    <cfRule type="cellIs" priority="590" operator="lessThan" dxfId="1">
      <formula>1</formula>
    </cfRule>
  </conditionalFormatting>
  <conditionalFormatting sqref="I37">
    <cfRule type="cellIs" priority="591" operator="greaterThanOrEqual" dxfId="0">
      <formula>1</formula>
    </cfRule>
    <cfRule type="cellIs" priority="592" operator="lessThan" dxfId="1">
      <formula>1</formula>
    </cfRule>
  </conditionalFormatting>
  <conditionalFormatting sqref="M37">
    <cfRule type="cellIs" priority="593" operator="greaterThanOrEqual" dxfId="0">
      <formula>1</formula>
    </cfRule>
    <cfRule type="cellIs" priority="594" operator="lessThan" dxfId="1">
      <formula>1</formula>
    </cfRule>
  </conditionalFormatting>
  <conditionalFormatting sqref="Q37">
    <cfRule type="cellIs" priority="595" operator="greaterThanOrEqual" dxfId="0">
      <formula>1</formula>
    </cfRule>
    <cfRule type="cellIs" priority="596" operator="lessThan" dxfId="1">
      <formula>1</formula>
    </cfRule>
  </conditionalFormatting>
  <conditionalFormatting sqref="U37">
    <cfRule type="cellIs" priority="597" operator="greaterThanOrEqual" dxfId="0">
      <formula>1</formula>
    </cfRule>
    <cfRule type="cellIs" priority="598" operator="lessThan" dxfId="1">
      <formula>1</formula>
    </cfRule>
  </conditionalFormatting>
  <conditionalFormatting sqref="E37">
    <cfRule type="cellIs" priority="599" operator="greaterThanOrEqual" dxfId="0">
      <formula>1</formula>
    </cfRule>
    <cfRule type="cellIs" priority="600" operator="lessThan" dxfId="1">
      <formula>1</formula>
    </cfRule>
  </conditionalFormatting>
  <conditionalFormatting sqref="I38">
    <cfRule type="cellIs" priority="601" operator="greaterThanOrEqual" dxfId="0">
      <formula>1</formula>
    </cfRule>
    <cfRule type="cellIs" priority="602" operator="lessThan" dxfId="1">
      <formula>1</formula>
    </cfRule>
  </conditionalFormatting>
  <conditionalFormatting sqref="M38">
    <cfRule type="cellIs" priority="603" operator="greaterThanOrEqual" dxfId="0">
      <formula>1</formula>
    </cfRule>
    <cfRule type="cellIs" priority="604" operator="lessThan" dxfId="1">
      <formula>1</formula>
    </cfRule>
  </conditionalFormatting>
  <conditionalFormatting sqref="Q38">
    <cfRule type="cellIs" priority="605" operator="greaterThanOrEqual" dxfId="0">
      <formula>1</formula>
    </cfRule>
    <cfRule type="cellIs" priority="606" operator="lessThan" dxfId="1">
      <formula>1</formula>
    </cfRule>
  </conditionalFormatting>
  <conditionalFormatting sqref="U38">
    <cfRule type="cellIs" priority="607" operator="greaterThanOrEqual" dxfId="0">
      <formula>1</formula>
    </cfRule>
    <cfRule type="cellIs" priority="608" operator="lessThan" dxfId="1">
      <formula>1</formula>
    </cfRule>
  </conditionalFormatting>
  <conditionalFormatting sqref="E38">
    <cfRule type="cellIs" priority="609" operator="greaterThanOrEqual" dxfId="0">
      <formula>1</formula>
    </cfRule>
    <cfRule type="cellIs" priority="610" operator="lessThan" dxfId="1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1" customWidth="1" min="3" max="3"/>
    <col width="11" customWidth="1" min="4" max="4"/>
    <col width="8" customWidth="1" min="5" max="5"/>
    <col width="9" customWidth="1" min="6" max="6"/>
    <col width="8" customWidth="1" min="7" max="7"/>
    <col width="2" customWidth="1" min="8" max="8"/>
    <col width="2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2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2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2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2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2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</cols>
  <sheetData>
    <row r="1" ht="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</row>
    <row r="2" ht="26" customHeight="1">
      <c r="A2" s="2" t="n"/>
      <c r="B2" s="57" t="inlineStr">
        <is>
          <t>Маркетинг — детализация по каналам и дням</t>
        </is>
      </c>
      <c r="H2" s="2" t="n"/>
      <c r="I2" s="58" t="inlineStr">
        <is>
          <t>Nexops · opdir.nexops.ru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</row>
    <row r="3" ht="18" customHeight="1">
      <c r="A3" s="2" t="n"/>
      <c r="B3" s="59" t="inlineStr">
        <is>
          <t>Месяц:</t>
        </is>
      </c>
      <c r="D3" s="59" t="inlineStr">
        <is>
          <t>Дней в месяце:</t>
        </is>
      </c>
      <c r="F3" s="88">
        <f>DAY(EOMONTH(TODAY(),0))</f>
        <v/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</row>
    <row r="4" ht="6" customHeight="1"/>
    <row r="5" ht="18" customHeight="1">
      <c r="B5" s="62" t="inlineStr">
        <is>
          <t>Метрика</t>
        </is>
      </c>
      <c r="C5" s="89" t="inlineStr">
        <is>
          <t>ПЛАН МЕС</t>
        </is>
      </c>
      <c r="D5" s="89" t="inlineStr">
        <is>
          <t>ФАКТ МЕС</t>
        </is>
      </c>
      <c r="E5" s="89" t="inlineStr">
        <is>
          <t>%</t>
        </is>
      </c>
      <c r="F5" s="89" t="inlineStr">
        <is>
          <t>ПРОГНОЗ</t>
        </is>
      </c>
      <c r="G5" s="89" t="inlineStr">
        <is>
          <t>%прог</t>
        </is>
      </c>
      <c r="I5" s="2" t="n"/>
      <c r="J5" s="64" t="inlineStr">
        <is>
          <t>Неделя 1</t>
        </is>
      </c>
      <c r="K5" s="53" t="n"/>
      <c r="L5" s="53" t="n"/>
      <c r="M5" s="53" t="n"/>
      <c r="N5" s="53" t="n"/>
      <c r="O5" s="53" t="n"/>
      <c r="P5" s="54" t="n"/>
      <c r="Q5" s="2" t="n"/>
      <c r="R5" s="64" t="inlineStr">
        <is>
          <t>Неделя 2</t>
        </is>
      </c>
      <c r="S5" s="53" t="n"/>
      <c r="T5" s="53" t="n"/>
      <c r="U5" s="53" t="n"/>
      <c r="V5" s="53" t="n"/>
      <c r="W5" s="53" t="n"/>
      <c r="X5" s="54" t="n"/>
      <c r="Y5" s="2" t="n"/>
      <c r="Z5" s="64" t="inlineStr">
        <is>
          <t>Неделя 3</t>
        </is>
      </c>
      <c r="AA5" s="53" t="n"/>
      <c r="AB5" s="53" t="n"/>
      <c r="AC5" s="53" t="n"/>
      <c r="AD5" s="53" t="n"/>
      <c r="AE5" s="53" t="n"/>
      <c r="AF5" s="54" t="n"/>
      <c r="AG5" s="2" t="n"/>
      <c r="AH5" s="64" t="inlineStr">
        <is>
          <t>Неделя 4</t>
        </is>
      </c>
      <c r="AI5" s="53" t="n"/>
      <c r="AJ5" s="53" t="n"/>
      <c r="AK5" s="53" t="n"/>
      <c r="AL5" s="53" t="n"/>
      <c r="AM5" s="53" t="n"/>
      <c r="AN5" s="54" t="n"/>
      <c r="AO5" s="2" t="n"/>
      <c r="AP5" s="64" t="inlineStr">
        <is>
          <t>Неделя 5</t>
        </is>
      </c>
      <c r="AQ5" s="53" t="n"/>
      <c r="AR5" s="53" t="n"/>
      <c r="AS5" s="53" t="n"/>
      <c r="AT5" s="53" t="n"/>
      <c r="AU5" s="53" t="n"/>
      <c r="AV5" s="54" t="n"/>
      <c r="AW5" s="2" t="n"/>
      <c r="AX5" s="64" t="inlineStr">
        <is>
          <t>Неделя 6</t>
        </is>
      </c>
      <c r="AY5" s="53" t="n"/>
      <c r="AZ5" s="53" t="n"/>
      <c r="BA5" s="53" t="n"/>
      <c r="BB5" s="53" t="n"/>
      <c r="BC5" s="53" t="n"/>
      <c r="BD5" s="54" t="n"/>
    </row>
    <row r="6" ht="16" customHeight="1">
      <c r="B6" s="65" t="inlineStr"/>
      <c r="C6" s="66" t="inlineStr">
        <is>
          <t>ПЛАН</t>
        </is>
      </c>
      <c r="D6" s="66" t="inlineStr">
        <is>
          <t>ФАКТ</t>
        </is>
      </c>
      <c r="E6" s="66" t="inlineStr">
        <is>
          <t>%</t>
        </is>
      </c>
      <c r="F6" s="66" t="inlineStr">
        <is>
          <t>ПРГ</t>
        </is>
      </c>
      <c r="G6" s="66" t="inlineStr">
        <is>
          <t>%</t>
        </is>
      </c>
      <c r="I6" s="42" t="n"/>
      <c r="J6" s="66" t="inlineStr">
        <is>
          <t>ПН</t>
        </is>
      </c>
      <c r="K6" s="66" t="inlineStr">
        <is>
          <t>ВТ</t>
        </is>
      </c>
      <c r="L6" s="66" t="inlineStr">
        <is>
          <t>СР</t>
        </is>
      </c>
      <c r="M6" s="66" t="inlineStr">
        <is>
          <t>ЧТ</t>
        </is>
      </c>
      <c r="N6" s="66" t="inlineStr">
        <is>
          <t>ПТ</t>
        </is>
      </c>
      <c r="O6" s="66" t="inlineStr">
        <is>
          <t>СБ</t>
        </is>
      </c>
      <c r="P6" s="66" t="inlineStr">
        <is>
          <t>ВС</t>
        </is>
      </c>
      <c r="Q6" s="42" t="n"/>
      <c r="R6" s="66" t="inlineStr">
        <is>
          <t>ПН</t>
        </is>
      </c>
      <c r="S6" s="66" t="inlineStr">
        <is>
          <t>ВТ</t>
        </is>
      </c>
      <c r="T6" s="66" t="inlineStr">
        <is>
          <t>СР</t>
        </is>
      </c>
      <c r="U6" s="66" t="inlineStr">
        <is>
          <t>ЧТ</t>
        </is>
      </c>
      <c r="V6" s="66" t="inlineStr">
        <is>
          <t>ПТ</t>
        </is>
      </c>
      <c r="W6" s="66" t="inlineStr">
        <is>
          <t>СБ</t>
        </is>
      </c>
      <c r="X6" s="66" t="inlineStr">
        <is>
          <t>ВС</t>
        </is>
      </c>
      <c r="Y6" s="42" t="n"/>
      <c r="Z6" s="66" t="inlineStr">
        <is>
          <t>ПН</t>
        </is>
      </c>
      <c r="AA6" s="66" t="inlineStr">
        <is>
          <t>ВТ</t>
        </is>
      </c>
      <c r="AB6" s="66" t="inlineStr">
        <is>
          <t>СР</t>
        </is>
      </c>
      <c r="AC6" s="66" t="inlineStr">
        <is>
          <t>ЧТ</t>
        </is>
      </c>
      <c r="AD6" s="66" t="inlineStr">
        <is>
          <t>ПТ</t>
        </is>
      </c>
      <c r="AE6" s="66" t="inlineStr">
        <is>
          <t>СБ</t>
        </is>
      </c>
      <c r="AF6" s="66" t="inlineStr">
        <is>
          <t>ВС</t>
        </is>
      </c>
      <c r="AG6" s="42" t="n"/>
      <c r="AH6" s="66" t="inlineStr">
        <is>
          <t>ПН</t>
        </is>
      </c>
      <c r="AI6" s="66" t="inlineStr">
        <is>
          <t>ВТ</t>
        </is>
      </c>
      <c r="AJ6" s="66" t="inlineStr">
        <is>
          <t>СР</t>
        </is>
      </c>
      <c r="AK6" s="66" t="inlineStr">
        <is>
          <t>ЧТ</t>
        </is>
      </c>
      <c r="AL6" s="66" t="inlineStr">
        <is>
          <t>ПТ</t>
        </is>
      </c>
      <c r="AM6" s="66" t="inlineStr">
        <is>
          <t>СБ</t>
        </is>
      </c>
      <c r="AN6" s="66" t="inlineStr">
        <is>
          <t>ВС</t>
        </is>
      </c>
      <c r="AO6" s="42" t="n"/>
      <c r="AP6" s="66" t="inlineStr">
        <is>
          <t>ПН</t>
        </is>
      </c>
      <c r="AQ6" s="66" t="inlineStr">
        <is>
          <t>ВТ</t>
        </is>
      </c>
      <c r="AR6" s="66" t="inlineStr">
        <is>
          <t>СР</t>
        </is>
      </c>
      <c r="AS6" s="66" t="inlineStr">
        <is>
          <t>ЧТ</t>
        </is>
      </c>
      <c r="AT6" s="66" t="inlineStr">
        <is>
          <t>ПТ</t>
        </is>
      </c>
      <c r="AU6" s="66" t="inlineStr">
        <is>
          <t>СБ</t>
        </is>
      </c>
      <c r="AV6" s="66" t="inlineStr">
        <is>
          <t>ВС</t>
        </is>
      </c>
      <c r="AW6" s="42" t="n"/>
      <c r="AX6" s="66" t="inlineStr">
        <is>
          <t>ПН</t>
        </is>
      </c>
      <c r="AY6" s="66" t="inlineStr">
        <is>
          <t>ВТ</t>
        </is>
      </c>
      <c r="AZ6" s="66" t="inlineStr">
        <is>
          <t>СР</t>
        </is>
      </c>
      <c r="BA6" s="66" t="inlineStr">
        <is>
          <t>ЧТ</t>
        </is>
      </c>
      <c r="BB6" s="66" t="inlineStr">
        <is>
          <t>ПТ</t>
        </is>
      </c>
      <c r="BC6" s="66" t="inlineStr">
        <is>
          <t>СБ</t>
        </is>
      </c>
      <c r="BD6" s="66" t="inlineStr">
        <is>
          <t>ВС</t>
        </is>
      </c>
    </row>
    <row r="7" ht="20" customHeight="1">
      <c r="B7" s="90" t="inlineStr">
        <is>
          <t>МАРКЕТИНГ — ОБЩИЙ</t>
        </is>
      </c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4" t="n"/>
    </row>
    <row r="8" ht="22" customHeight="1">
      <c r="B8" s="68" t="inlineStr">
        <is>
          <t>Суммарный бюджет (₽)</t>
        </is>
      </c>
      <c r="C8" s="69" t="n"/>
      <c r="D8" s="69">
        <f>SUM(SUM(J8:P8)+SUM(R8:X8)+SUM(Z8:AF8)+SUM(AH8:AN8)+SUM(AP8:AV8)+SUM(AX8:BD8))</f>
        <v/>
      </c>
      <c r="E8" s="70">
        <f>IFERROR(D8/C8,"")</f>
        <v/>
      </c>
      <c r="F8" s="69">
        <f>IFERROR(D8/IF(DAY(TODAY())=0,1,DAY(TODAY()))*G3,"")</f>
        <v/>
      </c>
      <c r="G8" s="70">
        <f>IFERROR(F8/C8,"")</f>
        <v/>
      </c>
      <c r="I8" s="42" t="n"/>
      <c r="J8" s="69" t="n"/>
      <c r="K8" s="69" t="n"/>
      <c r="L8" s="69" t="n"/>
      <c r="M8" s="69" t="n"/>
      <c r="N8" s="69" t="n"/>
      <c r="O8" s="69" t="n"/>
      <c r="P8" s="69" t="n"/>
      <c r="Q8" s="42" t="n"/>
      <c r="R8" s="69" t="n"/>
      <c r="S8" s="69" t="n"/>
      <c r="T8" s="69" t="n"/>
      <c r="U8" s="69" t="n"/>
      <c r="V8" s="69" t="n"/>
      <c r="W8" s="69" t="n"/>
      <c r="X8" s="69" t="n"/>
      <c r="Y8" s="42" t="n"/>
      <c r="Z8" s="69" t="n"/>
      <c r="AA8" s="69" t="n"/>
      <c r="AB8" s="69" t="n"/>
      <c r="AC8" s="69" t="n"/>
      <c r="AD8" s="69" t="n"/>
      <c r="AE8" s="69" t="n"/>
      <c r="AF8" s="69" t="n"/>
      <c r="AG8" s="42" t="n"/>
      <c r="AH8" s="69" t="n"/>
      <c r="AI8" s="69" t="n"/>
      <c r="AJ8" s="69" t="n"/>
      <c r="AK8" s="69" t="n"/>
      <c r="AL8" s="69" t="n"/>
      <c r="AM8" s="69" t="n"/>
      <c r="AN8" s="69" t="n"/>
      <c r="AO8" s="42" t="n"/>
      <c r="AP8" s="69" t="n"/>
      <c r="AQ8" s="69" t="n"/>
      <c r="AR8" s="69" t="n"/>
      <c r="AS8" s="69" t="n"/>
      <c r="AT8" s="69" t="n"/>
      <c r="AU8" s="69" t="n"/>
      <c r="AV8" s="69" t="n"/>
      <c r="AW8" s="42" t="n"/>
      <c r="AX8" s="69" t="n"/>
      <c r="AY8" s="69" t="n"/>
      <c r="AZ8" s="69" t="n"/>
      <c r="BA8" s="69" t="n"/>
      <c r="BB8" s="69" t="n"/>
      <c r="BC8" s="69" t="n"/>
      <c r="BD8" s="69" t="n"/>
    </row>
    <row r="9" ht="22" customHeight="1">
      <c r="B9" s="71" t="inlineStr">
        <is>
          <t>Стоимость лида (₽)</t>
        </is>
      </c>
      <c r="C9" s="72" t="n"/>
      <c r="D9" s="72">
        <f>SUM(SUM(J9:P9)+SUM(R9:X9)+SUM(Z9:AF9)+SUM(AH9:AN9)+SUM(AP9:AV9)+SUM(AX9:BD9))</f>
        <v/>
      </c>
      <c r="E9" s="73">
        <f>IFERROR(D9/C9,"")</f>
        <v/>
      </c>
      <c r="F9" s="72">
        <f>IFERROR(D9/IF(DAY(TODAY())=0,1,DAY(TODAY()))*G3,"")</f>
        <v/>
      </c>
      <c r="G9" s="73">
        <f>IFERROR(F9/C9,"")</f>
        <v/>
      </c>
      <c r="I9" s="42" t="n"/>
      <c r="J9" s="72" t="n"/>
      <c r="K9" s="72" t="n"/>
      <c r="L9" s="72" t="n"/>
      <c r="M9" s="72" t="n"/>
      <c r="N9" s="72" t="n"/>
      <c r="O9" s="72" t="n"/>
      <c r="P9" s="72" t="n"/>
      <c r="Q9" s="42" t="n"/>
      <c r="R9" s="72" t="n"/>
      <c r="S9" s="72" t="n"/>
      <c r="T9" s="72" t="n"/>
      <c r="U9" s="72" t="n"/>
      <c r="V9" s="72" t="n"/>
      <c r="W9" s="72" t="n"/>
      <c r="X9" s="72" t="n"/>
      <c r="Y9" s="42" t="n"/>
      <c r="Z9" s="72" t="n"/>
      <c r="AA9" s="72" t="n"/>
      <c r="AB9" s="72" t="n"/>
      <c r="AC9" s="72" t="n"/>
      <c r="AD9" s="72" t="n"/>
      <c r="AE9" s="72" t="n"/>
      <c r="AF9" s="72" t="n"/>
      <c r="AG9" s="42" t="n"/>
      <c r="AH9" s="72" t="n"/>
      <c r="AI9" s="72" t="n"/>
      <c r="AJ9" s="72" t="n"/>
      <c r="AK9" s="72" t="n"/>
      <c r="AL9" s="72" t="n"/>
      <c r="AM9" s="72" t="n"/>
      <c r="AN9" s="72" t="n"/>
      <c r="AO9" s="42" t="n"/>
      <c r="AP9" s="72" t="n"/>
      <c r="AQ9" s="72" t="n"/>
      <c r="AR9" s="72" t="n"/>
      <c r="AS9" s="72" t="n"/>
      <c r="AT9" s="72" t="n"/>
      <c r="AU9" s="72" t="n"/>
      <c r="AV9" s="72" t="n"/>
      <c r="AW9" s="42" t="n"/>
      <c r="AX9" s="72" t="n"/>
      <c r="AY9" s="72" t="n"/>
      <c r="AZ9" s="72" t="n"/>
      <c r="BA9" s="72" t="n"/>
      <c r="BB9" s="72" t="n"/>
      <c r="BC9" s="72" t="n"/>
      <c r="BD9" s="72" t="n"/>
    </row>
    <row r="10" ht="22" customHeight="1">
      <c r="B10" s="68" t="inlineStr">
        <is>
          <t>Стоимость клиента (₽)</t>
        </is>
      </c>
      <c r="C10" s="69" t="n"/>
      <c r="D10" s="69">
        <f>SUM(SUM(J10:P10)+SUM(R10:X10)+SUM(Z10:AF10)+SUM(AH10:AN10)+SUM(AP10:AV10)+SUM(AX10:BD10))</f>
        <v/>
      </c>
      <c r="E10" s="70">
        <f>IFERROR(D10/C10,"")</f>
        <v/>
      </c>
      <c r="F10" s="69">
        <f>IFERROR(D10/IF(DAY(TODAY())=0,1,DAY(TODAY()))*G3,"")</f>
        <v/>
      </c>
      <c r="G10" s="70">
        <f>IFERROR(F10/C10,"")</f>
        <v/>
      </c>
      <c r="I10" s="42" t="n"/>
      <c r="J10" s="69" t="n"/>
      <c r="K10" s="69" t="n"/>
      <c r="L10" s="69" t="n"/>
      <c r="M10" s="69" t="n"/>
      <c r="N10" s="69" t="n"/>
      <c r="O10" s="69" t="n"/>
      <c r="P10" s="69" t="n"/>
      <c r="Q10" s="42" t="n"/>
      <c r="R10" s="69" t="n"/>
      <c r="S10" s="69" t="n"/>
      <c r="T10" s="69" t="n"/>
      <c r="U10" s="69" t="n"/>
      <c r="V10" s="69" t="n"/>
      <c r="W10" s="69" t="n"/>
      <c r="X10" s="69" t="n"/>
      <c r="Y10" s="42" t="n"/>
      <c r="Z10" s="69" t="n"/>
      <c r="AA10" s="69" t="n"/>
      <c r="AB10" s="69" t="n"/>
      <c r="AC10" s="69" t="n"/>
      <c r="AD10" s="69" t="n"/>
      <c r="AE10" s="69" t="n"/>
      <c r="AF10" s="69" t="n"/>
      <c r="AG10" s="42" t="n"/>
      <c r="AH10" s="69" t="n"/>
      <c r="AI10" s="69" t="n"/>
      <c r="AJ10" s="69" t="n"/>
      <c r="AK10" s="69" t="n"/>
      <c r="AL10" s="69" t="n"/>
      <c r="AM10" s="69" t="n"/>
      <c r="AN10" s="69" t="n"/>
      <c r="AO10" s="42" t="n"/>
      <c r="AP10" s="69" t="n"/>
      <c r="AQ10" s="69" t="n"/>
      <c r="AR10" s="69" t="n"/>
      <c r="AS10" s="69" t="n"/>
      <c r="AT10" s="69" t="n"/>
      <c r="AU10" s="69" t="n"/>
      <c r="AV10" s="69" t="n"/>
      <c r="AW10" s="42" t="n"/>
      <c r="AX10" s="69" t="n"/>
      <c r="AY10" s="69" t="n"/>
      <c r="AZ10" s="69" t="n"/>
      <c r="BA10" s="69" t="n"/>
      <c r="BB10" s="69" t="n"/>
      <c r="BC10" s="69" t="n"/>
      <c r="BD10" s="69" t="n"/>
    </row>
    <row r="11" ht="22" customHeight="1">
      <c r="B11" s="71" t="inlineStr">
        <is>
          <t>Кол-во лидов (шт.)</t>
        </is>
      </c>
      <c r="C11" s="72" t="n"/>
      <c r="D11" s="72">
        <f>SUM(SUM(J11:P11)+SUM(R11:X11)+SUM(Z11:AF11)+SUM(AH11:AN11)+SUM(AP11:AV11)+SUM(AX11:BD11))</f>
        <v/>
      </c>
      <c r="E11" s="73">
        <f>IFERROR(D11/C11,"")</f>
        <v/>
      </c>
      <c r="F11" s="72">
        <f>IFERROR(D11/IF(DAY(TODAY())=0,1,DAY(TODAY()))*G3,"")</f>
        <v/>
      </c>
      <c r="G11" s="73">
        <f>IFERROR(F11/C11,"")</f>
        <v/>
      </c>
      <c r="I11" s="42" t="n"/>
      <c r="J11" s="72" t="n"/>
      <c r="K11" s="72" t="n"/>
      <c r="L11" s="72" t="n"/>
      <c r="M11" s="72" t="n"/>
      <c r="N11" s="72" t="n"/>
      <c r="O11" s="72" t="n"/>
      <c r="P11" s="72" t="n"/>
      <c r="Q11" s="42" t="n"/>
      <c r="R11" s="72" t="n"/>
      <c r="S11" s="72" t="n"/>
      <c r="T11" s="72" t="n"/>
      <c r="U11" s="72" t="n"/>
      <c r="V11" s="72" t="n"/>
      <c r="W11" s="72" t="n"/>
      <c r="X11" s="72" t="n"/>
      <c r="Y11" s="42" t="n"/>
      <c r="Z11" s="72" t="n"/>
      <c r="AA11" s="72" t="n"/>
      <c r="AB11" s="72" t="n"/>
      <c r="AC11" s="72" t="n"/>
      <c r="AD11" s="72" t="n"/>
      <c r="AE11" s="72" t="n"/>
      <c r="AF11" s="72" t="n"/>
      <c r="AG11" s="42" t="n"/>
      <c r="AH11" s="72" t="n"/>
      <c r="AI11" s="72" t="n"/>
      <c r="AJ11" s="72" t="n"/>
      <c r="AK11" s="72" t="n"/>
      <c r="AL11" s="72" t="n"/>
      <c r="AM11" s="72" t="n"/>
      <c r="AN11" s="72" t="n"/>
      <c r="AO11" s="42" t="n"/>
      <c r="AP11" s="72" t="n"/>
      <c r="AQ11" s="72" t="n"/>
      <c r="AR11" s="72" t="n"/>
      <c r="AS11" s="72" t="n"/>
      <c r="AT11" s="72" t="n"/>
      <c r="AU11" s="72" t="n"/>
      <c r="AV11" s="72" t="n"/>
      <c r="AW11" s="42" t="n"/>
      <c r="AX11" s="72" t="n"/>
      <c r="AY11" s="72" t="n"/>
      <c r="AZ11" s="72" t="n"/>
      <c r="BA11" s="72" t="n"/>
      <c r="BB11" s="72" t="n"/>
      <c r="BC11" s="72" t="n"/>
      <c r="BD11" s="72" t="n"/>
    </row>
    <row r="12" ht="6" customHeight="1"/>
    <row r="13" ht="20" customHeight="1">
      <c r="B13" s="90" t="inlineStr">
        <is>
          <t>TG-КАНАЛ</t>
        </is>
      </c>
      <c r="C13" s="53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4" t="n"/>
    </row>
    <row r="14" ht="22" customHeight="1">
      <c r="B14" s="68" t="inlineStr">
        <is>
          <t>Бюджет Telegram (₽)</t>
        </is>
      </c>
      <c r="C14" s="69" t="n"/>
      <c r="D14" s="69">
        <f>SUM(SUM(J14:P14)+SUM(R14:X14)+SUM(Z14:AF14)+SUM(AH14:AN14)+SUM(AP14:AV14)+SUM(AX14:BD14))</f>
        <v/>
      </c>
      <c r="E14" s="70">
        <f>IFERROR(D14/C14,"")</f>
        <v/>
      </c>
      <c r="F14" s="69">
        <f>IFERROR(D14/IF(DAY(TODAY())=0,1,DAY(TODAY()))*G3,"")</f>
        <v/>
      </c>
      <c r="G14" s="70">
        <f>IFERROR(F14/C14,"")</f>
        <v/>
      </c>
      <c r="I14" s="42" t="n"/>
      <c r="J14" s="69" t="n"/>
      <c r="K14" s="69" t="n"/>
      <c r="L14" s="69" t="n"/>
      <c r="M14" s="69" t="n"/>
      <c r="N14" s="69" t="n"/>
      <c r="O14" s="69" t="n"/>
      <c r="P14" s="69" t="n"/>
      <c r="Q14" s="42" t="n"/>
      <c r="R14" s="69" t="n"/>
      <c r="S14" s="69" t="n"/>
      <c r="T14" s="69" t="n"/>
      <c r="U14" s="69" t="n"/>
      <c r="V14" s="69" t="n"/>
      <c r="W14" s="69" t="n"/>
      <c r="X14" s="69" t="n"/>
      <c r="Y14" s="42" t="n"/>
      <c r="Z14" s="69" t="n"/>
      <c r="AA14" s="69" t="n"/>
      <c r="AB14" s="69" t="n"/>
      <c r="AC14" s="69" t="n"/>
      <c r="AD14" s="69" t="n"/>
      <c r="AE14" s="69" t="n"/>
      <c r="AF14" s="69" t="n"/>
      <c r="AG14" s="42" t="n"/>
      <c r="AH14" s="69" t="n"/>
      <c r="AI14" s="69" t="n"/>
      <c r="AJ14" s="69" t="n"/>
      <c r="AK14" s="69" t="n"/>
      <c r="AL14" s="69" t="n"/>
      <c r="AM14" s="69" t="n"/>
      <c r="AN14" s="69" t="n"/>
      <c r="AO14" s="42" t="n"/>
      <c r="AP14" s="69" t="n"/>
      <c r="AQ14" s="69" t="n"/>
      <c r="AR14" s="69" t="n"/>
      <c r="AS14" s="69" t="n"/>
      <c r="AT14" s="69" t="n"/>
      <c r="AU14" s="69" t="n"/>
      <c r="AV14" s="69" t="n"/>
      <c r="AW14" s="42" t="n"/>
      <c r="AX14" s="69" t="n"/>
      <c r="AY14" s="69" t="n"/>
      <c r="AZ14" s="69" t="n"/>
      <c r="BA14" s="69" t="n"/>
      <c r="BB14" s="69" t="n"/>
      <c r="BC14" s="69" t="n"/>
      <c r="BD14" s="69" t="n"/>
    </row>
    <row r="15" ht="22" customHeight="1">
      <c r="B15" s="71" t="inlineStr">
        <is>
          <t>Подписчики (накоп.)</t>
        </is>
      </c>
      <c r="C15" s="72" t="n"/>
      <c r="D15" s="72">
        <f>SUM(SUM(J15:P15)+SUM(R15:X15)+SUM(Z15:AF15)+SUM(AH15:AN15)+SUM(AP15:AV15)+SUM(AX15:BD15))</f>
        <v/>
      </c>
      <c r="E15" s="73">
        <f>IFERROR(D15/C15,"")</f>
        <v/>
      </c>
      <c r="F15" s="72">
        <f>IFERROR(D15/IF(DAY(TODAY())=0,1,DAY(TODAY()))*G3,"")</f>
        <v/>
      </c>
      <c r="G15" s="73">
        <f>IFERROR(F15/C15,"")</f>
        <v/>
      </c>
      <c r="I15" s="42" t="n"/>
      <c r="J15" s="72" t="n"/>
      <c r="K15" s="72" t="n"/>
      <c r="L15" s="72" t="n"/>
      <c r="M15" s="72" t="n"/>
      <c r="N15" s="72" t="n"/>
      <c r="O15" s="72" t="n"/>
      <c r="P15" s="72" t="n"/>
      <c r="Q15" s="42" t="n"/>
      <c r="R15" s="72" t="n"/>
      <c r="S15" s="72" t="n"/>
      <c r="T15" s="72" t="n"/>
      <c r="U15" s="72" t="n"/>
      <c r="V15" s="72" t="n"/>
      <c r="W15" s="72" t="n"/>
      <c r="X15" s="72" t="n"/>
      <c r="Y15" s="42" t="n"/>
      <c r="Z15" s="72" t="n"/>
      <c r="AA15" s="72" t="n"/>
      <c r="AB15" s="72" t="n"/>
      <c r="AC15" s="72" t="n"/>
      <c r="AD15" s="72" t="n"/>
      <c r="AE15" s="72" t="n"/>
      <c r="AF15" s="72" t="n"/>
      <c r="AG15" s="42" t="n"/>
      <c r="AH15" s="72" t="n"/>
      <c r="AI15" s="72" t="n"/>
      <c r="AJ15" s="72" t="n"/>
      <c r="AK15" s="72" t="n"/>
      <c r="AL15" s="72" t="n"/>
      <c r="AM15" s="72" t="n"/>
      <c r="AN15" s="72" t="n"/>
      <c r="AO15" s="42" t="n"/>
      <c r="AP15" s="72" t="n"/>
      <c r="AQ15" s="72" t="n"/>
      <c r="AR15" s="72" t="n"/>
      <c r="AS15" s="72" t="n"/>
      <c r="AT15" s="72" t="n"/>
      <c r="AU15" s="72" t="n"/>
      <c r="AV15" s="72" t="n"/>
      <c r="AW15" s="42" t="n"/>
      <c r="AX15" s="72" t="n"/>
      <c r="AY15" s="72" t="n"/>
      <c r="AZ15" s="72" t="n"/>
      <c r="BA15" s="72" t="n"/>
      <c r="BB15" s="72" t="n"/>
      <c r="BC15" s="72" t="n"/>
      <c r="BD15" s="72" t="n"/>
    </row>
    <row r="16" ht="22" customHeight="1">
      <c r="B16" s="68" t="inlineStr">
        <is>
          <t>Прирост за период</t>
        </is>
      </c>
      <c r="C16" s="69" t="n"/>
      <c r="D16" s="69">
        <f>SUM(SUM(J16:P16)+SUM(R16:X16)+SUM(Z16:AF16)+SUM(AH16:AN16)+SUM(AP16:AV16)+SUM(AX16:BD16))</f>
        <v/>
      </c>
      <c r="E16" s="70">
        <f>IFERROR(D16/C16,"")</f>
        <v/>
      </c>
      <c r="F16" s="69">
        <f>IFERROR(D16/IF(DAY(TODAY())=0,1,DAY(TODAY()))*G3,"")</f>
        <v/>
      </c>
      <c r="G16" s="70">
        <f>IFERROR(F16/C16,"")</f>
        <v/>
      </c>
      <c r="I16" s="42" t="n"/>
      <c r="J16" s="69" t="n"/>
      <c r="K16" s="69" t="n"/>
      <c r="L16" s="69" t="n"/>
      <c r="M16" s="69" t="n"/>
      <c r="N16" s="69" t="n"/>
      <c r="O16" s="69" t="n"/>
      <c r="P16" s="69" t="n"/>
      <c r="Q16" s="42" t="n"/>
      <c r="R16" s="69" t="n"/>
      <c r="S16" s="69" t="n"/>
      <c r="T16" s="69" t="n"/>
      <c r="U16" s="69" t="n"/>
      <c r="V16" s="69" t="n"/>
      <c r="W16" s="69" t="n"/>
      <c r="X16" s="69" t="n"/>
      <c r="Y16" s="42" t="n"/>
      <c r="Z16" s="69" t="n"/>
      <c r="AA16" s="69" t="n"/>
      <c r="AB16" s="69" t="n"/>
      <c r="AC16" s="69" t="n"/>
      <c r="AD16" s="69" t="n"/>
      <c r="AE16" s="69" t="n"/>
      <c r="AF16" s="69" t="n"/>
      <c r="AG16" s="42" t="n"/>
      <c r="AH16" s="69" t="n"/>
      <c r="AI16" s="69" t="n"/>
      <c r="AJ16" s="69" t="n"/>
      <c r="AK16" s="69" t="n"/>
      <c r="AL16" s="69" t="n"/>
      <c r="AM16" s="69" t="n"/>
      <c r="AN16" s="69" t="n"/>
      <c r="AO16" s="42" t="n"/>
      <c r="AP16" s="69" t="n"/>
      <c r="AQ16" s="69" t="n"/>
      <c r="AR16" s="69" t="n"/>
      <c r="AS16" s="69" t="n"/>
      <c r="AT16" s="69" t="n"/>
      <c r="AU16" s="69" t="n"/>
      <c r="AV16" s="69" t="n"/>
      <c r="AW16" s="42" t="n"/>
      <c r="AX16" s="69" t="n"/>
      <c r="AY16" s="69" t="n"/>
      <c r="AZ16" s="69" t="n"/>
      <c r="BA16" s="69" t="n"/>
      <c r="BB16" s="69" t="n"/>
      <c r="BC16" s="69" t="n"/>
      <c r="BD16" s="69" t="n"/>
    </row>
    <row r="17" ht="22" customHeight="1">
      <c r="B17" s="71" t="inlineStr">
        <is>
          <t>Контентных единиц</t>
        </is>
      </c>
      <c r="C17" s="72" t="n"/>
      <c r="D17" s="72">
        <f>SUM(SUM(J17:P17)+SUM(R17:X17)+SUM(Z17:AF17)+SUM(AH17:AN17)+SUM(AP17:AV17)+SUM(AX17:BD17))</f>
        <v/>
      </c>
      <c r="E17" s="73">
        <f>IFERROR(D17/C17,"")</f>
        <v/>
      </c>
      <c r="F17" s="72">
        <f>IFERROR(D17/IF(DAY(TODAY())=0,1,DAY(TODAY()))*G3,"")</f>
        <v/>
      </c>
      <c r="G17" s="73">
        <f>IFERROR(F17/C17,"")</f>
        <v/>
      </c>
      <c r="I17" s="42" t="n"/>
      <c r="J17" s="72" t="n"/>
      <c r="K17" s="72" t="n"/>
      <c r="L17" s="72" t="n"/>
      <c r="M17" s="72" t="n"/>
      <c r="N17" s="72" t="n"/>
      <c r="O17" s="72" t="n"/>
      <c r="P17" s="72" t="n"/>
      <c r="Q17" s="42" t="n"/>
      <c r="R17" s="72" t="n"/>
      <c r="S17" s="72" t="n"/>
      <c r="T17" s="72" t="n"/>
      <c r="U17" s="72" t="n"/>
      <c r="V17" s="72" t="n"/>
      <c r="W17" s="72" t="n"/>
      <c r="X17" s="72" t="n"/>
      <c r="Y17" s="42" t="n"/>
      <c r="Z17" s="72" t="n"/>
      <c r="AA17" s="72" t="n"/>
      <c r="AB17" s="72" t="n"/>
      <c r="AC17" s="72" t="n"/>
      <c r="AD17" s="72" t="n"/>
      <c r="AE17" s="72" t="n"/>
      <c r="AF17" s="72" t="n"/>
      <c r="AG17" s="42" t="n"/>
      <c r="AH17" s="72" t="n"/>
      <c r="AI17" s="72" t="n"/>
      <c r="AJ17" s="72" t="n"/>
      <c r="AK17" s="72" t="n"/>
      <c r="AL17" s="72" t="n"/>
      <c r="AM17" s="72" t="n"/>
      <c r="AN17" s="72" t="n"/>
      <c r="AO17" s="42" t="n"/>
      <c r="AP17" s="72" t="n"/>
      <c r="AQ17" s="72" t="n"/>
      <c r="AR17" s="72" t="n"/>
      <c r="AS17" s="72" t="n"/>
      <c r="AT17" s="72" t="n"/>
      <c r="AU17" s="72" t="n"/>
      <c r="AV17" s="72" t="n"/>
      <c r="AW17" s="42" t="n"/>
      <c r="AX17" s="72" t="n"/>
      <c r="AY17" s="72" t="n"/>
      <c r="AZ17" s="72" t="n"/>
      <c r="BA17" s="72" t="n"/>
      <c r="BB17" s="72" t="n"/>
      <c r="BC17" s="72" t="n"/>
      <c r="BD17" s="72" t="n"/>
    </row>
    <row r="18" ht="22" customHeight="1">
      <c r="B18" s="68" t="inlineStr">
        <is>
          <t>Лиды из Telegram</t>
        </is>
      </c>
      <c r="C18" s="69" t="n"/>
      <c r="D18" s="69">
        <f>SUM(SUM(J18:P18)+SUM(R18:X18)+SUM(Z18:AF18)+SUM(AH18:AN18)+SUM(AP18:AV18)+SUM(AX18:BD18))</f>
        <v/>
      </c>
      <c r="E18" s="70">
        <f>IFERROR(D18/C18,"")</f>
        <v/>
      </c>
      <c r="F18" s="69">
        <f>IFERROR(D18/IF(DAY(TODAY())=0,1,DAY(TODAY()))*G3,"")</f>
        <v/>
      </c>
      <c r="G18" s="70">
        <f>IFERROR(F18/C18,"")</f>
        <v/>
      </c>
      <c r="I18" s="42" t="n"/>
      <c r="J18" s="69" t="n"/>
      <c r="K18" s="69" t="n"/>
      <c r="L18" s="69" t="n"/>
      <c r="M18" s="69" t="n"/>
      <c r="N18" s="69" t="n"/>
      <c r="O18" s="69" t="n"/>
      <c r="P18" s="69" t="n"/>
      <c r="Q18" s="42" t="n"/>
      <c r="R18" s="69" t="n"/>
      <c r="S18" s="69" t="n"/>
      <c r="T18" s="69" t="n"/>
      <c r="U18" s="69" t="n"/>
      <c r="V18" s="69" t="n"/>
      <c r="W18" s="69" t="n"/>
      <c r="X18" s="69" t="n"/>
      <c r="Y18" s="42" t="n"/>
      <c r="Z18" s="69" t="n"/>
      <c r="AA18" s="69" t="n"/>
      <c r="AB18" s="69" t="n"/>
      <c r="AC18" s="69" t="n"/>
      <c r="AD18" s="69" t="n"/>
      <c r="AE18" s="69" t="n"/>
      <c r="AF18" s="69" t="n"/>
      <c r="AG18" s="42" t="n"/>
      <c r="AH18" s="69" t="n"/>
      <c r="AI18" s="69" t="n"/>
      <c r="AJ18" s="69" t="n"/>
      <c r="AK18" s="69" t="n"/>
      <c r="AL18" s="69" t="n"/>
      <c r="AM18" s="69" t="n"/>
      <c r="AN18" s="69" t="n"/>
      <c r="AO18" s="42" t="n"/>
      <c r="AP18" s="69" t="n"/>
      <c r="AQ18" s="69" t="n"/>
      <c r="AR18" s="69" t="n"/>
      <c r="AS18" s="69" t="n"/>
      <c r="AT18" s="69" t="n"/>
      <c r="AU18" s="69" t="n"/>
      <c r="AV18" s="69" t="n"/>
      <c r="AW18" s="42" t="n"/>
      <c r="AX18" s="69" t="n"/>
      <c r="AY18" s="69" t="n"/>
      <c r="AZ18" s="69" t="n"/>
      <c r="BA18" s="69" t="n"/>
      <c r="BB18" s="69" t="n"/>
      <c r="BC18" s="69" t="n"/>
      <c r="BD18" s="69" t="n"/>
    </row>
    <row r="19" ht="22" customHeight="1">
      <c r="B19" s="71" t="inlineStr">
        <is>
          <t>Стоимость лида TG (₽)</t>
        </is>
      </c>
      <c r="C19" s="72" t="n"/>
      <c r="D19" s="72">
        <f>SUM(SUM(J19:P19)+SUM(R19:X19)+SUM(Z19:AF19)+SUM(AH19:AN19)+SUM(AP19:AV19)+SUM(AX19:BD19))</f>
        <v/>
      </c>
      <c r="E19" s="73">
        <f>IFERROR(D19/C19,"")</f>
        <v/>
      </c>
      <c r="F19" s="72">
        <f>IFERROR(D19/IF(DAY(TODAY())=0,1,DAY(TODAY()))*G3,"")</f>
        <v/>
      </c>
      <c r="G19" s="73">
        <f>IFERROR(F19/C19,"")</f>
        <v/>
      </c>
      <c r="I19" s="42" t="n"/>
      <c r="J19" s="72" t="n"/>
      <c r="K19" s="72" t="n"/>
      <c r="L19" s="72" t="n"/>
      <c r="M19" s="72" t="n"/>
      <c r="N19" s="72" t="n"/>
      <c r="O19" s="72" t="n"/>
      <c r="P19" s="72" t="n"/>
      <c r="Q19" s="42" t="n"/>
      <c r="R19" s="72" t="n"/>
      <c r="S19" s="72" t="n"/>
      <c r="T19" s="72" t="n"/>
      <c r="U19" s="72" t="n"/>
      <c r="V19" s="72" t="n"/>
      <c r="W19" s="72" t="n"/>
      <c r="X19" s="72" t="n"/>
      <c r="Y19" s="42" t="n"/>
      <c r="Z19" s="72" t="n"/>
      <c r="AA19" s="72" t="n"/>
      <c r="AB19" s="72" t="n"/>
      <c r="AC19" s="72" t="n"/>
      <c r="AD19" s="72" t="n"/>
      <c r="AE19" s="72" t="n"/>
      <c r="AF19" s="72" t="n"/>
      <c r="AG19" s="42" t="n"/>
      <c r="AH19" s="72" t="n"/>
      <c r="AI19" s="72" t="n"/>
      <c r="AJ19" s="72" t="n"/>
      <c r="AK19" s="72" t="n"/>
      <c r="AL19" s="72" t="n"/>
      <c r="AM19" s="72" t="n"/>
      <c r="AN19" s="72" t="n"/>
      <c r="AO19" s="42" t="n"/>
      <c r="AP19" s="72" t="n"/>
      <c r="AQ19" s="72" t="n"/>
      <c r="AR19" s="72" t="n"/>
      <c r="AS19" s="72" t="n"/>
      <c r="AT19" s="72" t="n"/>
      <c r="AU19" s="72" t="n"/>
      <c r="AV19" s="72" t="n"/>
      <c r="AW19" s="42" t="n"/>
      <c r="AX19" s="72" t="n"/>
      <c r="AY19" s="72" t="n"/>
      <c r="AZ19" s="72" t="n"/>
      <c r="BA19" s="72" t="n"/>
      <c r="BB19" s="72" t="n"/>
      <c r="BC19" s="72" t="n"/>
      <c r="BD19" s="72" t="n"/>
    </row>
    <row r="20" ht="6" customHeight="1"/>
    <row r="21" ht="20" customHeight="1">
      <c r="B21" s="90" t="inlineStr">
        <is>
          <t>ПОСЕВЫ / INSTAGRAM</t>
        </is>
      </c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4" t="n"/>
    </row>
    <row r="22" ht="22" customHeight="1">
      <c r="B22" s="68" t="inlineStr">
        <is>
          <t>Бюджет (₽)</t>
        </is>
      </c>
      <c r="C22" s="69" t="n"/>
      <c r="D22" s="69">
        <f>SUM(SUM(J22:P22)+SUM(R22:X22)+SUM(Z22:AF22)+SUM(AH22:AN22)+SUM(AP22:AV22)+SUM(AX22:BD22))</f>
        <v/>
      </c>
      <c r="E22" s="70">
        <f>IFERROR(D22/C22,"")</f>
        <v/>
      </c>
      <c r="F22" s="69">
        <f>IFERROR(D22/IF(DAY(TODAY())=0,1,DAY(TODAY()))*G3,"")</f>
        <v/>
      </c>
      <c r="G22" s="70">
        <f>IFERROR(F22/C22,"")</f>
        <v/>
      </c>
      <c r="I22" s="42" t="n"/>
      <c r="J22" s="69" t="n"/>
      <c r="K22" s="69" t="n"/>
      <c r="L22" s="69" t="n"/>
      <c r="M22" s="69" t="n"/>
      <c r="N22" s="69" t="n"/>
      <c r="O22" s="69" t="n"/>
      <c r="P22" s="69" t="n"/>
      <c r="Q22" s="42" t="n"/>
      <c r="R22" s="69" t="n"/>
      <c r="S22" s="69" t="n"/>
      <c r="T22" s="69" t="n"/>
      <c r="U22" s="69" t="n"/>
      <c r="V22" s="69" t="n"/>
      <c r="W22" s="69" t="n"/>
      <c r="X22" s="69" t="n"/>
      <c r="Y22" s="42" t="n"/>
      <c r="Z22" s="69" t="n"/>
      <c r="AA22" s="69" t="n"/>
      <c r="AB22" s="69" t="n"/>
      <c r="AC22" s="69" t="n"/>
      <c r="AD22" s="69" t="n"/>
      <c r="AE22" s="69" t="n"/>
      <c r="AF22" s="69" t="n"/>
      <c r="AG22" s="42" t="n"/>
      <c r="AH22" s="69" t="n"/>
      <c r="AI22" s="69" t="n"/>
      <c r="AJ22" s="69" t="n"/>
      <c r="AK22" s="69" t="n"/>
      <c r="AL22" s="69" t="n"/>
      <c r="AM22" s="69" t="n"/>
      <c r="AN22" s="69" t="n"/>
      <c r="AO22" s="42" t="n"/>
      <c r="AP22" s="69" t="n"/>
      <c r="AQ22" s="69" t="n"/>
      <c r="AR22" s="69" t="n"/>
      <c r="AS22" s="69" t="n"/>
      <c r="AT22" s="69" t="n"/>
      <c r="AU22" s="69" t="n"/>
      <c r="AV22" s="69" t="n"/>
      <c r="AW22" s="42" t="n"/>
      <c r="AX22" s="69" t="n"/>
      <c r="AY22" s="69" t="n"/>
      <c r="AZ22" s="69" t="n"/>
      <c r="BA22" s="69" t="n"/>
      <c r="BB22" s="69" t="n"/>
      <c r="BC22" s="69" t="n"/>
      <c r="BD22" s="69" t="n"/>
    </row>
    <row r="23" ht="22" customHeight="1">
      <c r="B23" s="71" t="inlineStr">
        <is>
          <t>Кол-во размещений</t>
        </is>
      </c>
      <c r="C23" s="72" t="n"/>
      <c r="D23" s="72">
        <f>SUM(SUM(J23:P23)+SUM(R23:X23)+SUM(Z23:AF23)+SUM(AH23:AN23)+SUM(AP23:AV23)+SUM(AX23:BD23))</f>
        <v/>
      </c>
      <c r="E23" s="73">
        <f>IFERROR(D23/C23,"")</f>
        <v/>
      </c>
      <c r="F23" s="72">
        <f>IFERROR(D23/IF(DAY(TODAY())=0,1,DAY(TODAY()))*G3,"")</f>
        <v/>
      </c>
      <c r="G23" s="73">
        <f>IFERROR(F23/C23,"")</f>
        <v/>
      </c>
      <c r="I23" s="42" t="n"/>
      <c r="J23" s="72" t="n"/>
      <c r="K23" s="72" t="n"/>
      <c r="L23" s="72" t="n"/>
      <c r="M23" s="72" t="n"/>
      <c r="N23" s="72" t="n"/>
      <c r="O23" s="72" t="n"/>
      <c r="P23" s="72" t="n"/>
      <c r="Q23" s="42" t="n"/>
      <c r="R23" s="72" t="n"/>
      <c r="S23" s="72" t="n"/>
      <c r="T23" s="72" t="n"/>
      <c r="U23" s="72" t="n"/>
      <c r="V23" s="72" t="n"/>
      <c r="W23" s="72" t="n"/>
      <c r="X23" s="72" t="n"/>
      <c r="Y23" s="42" t="n"/>
      <c r="Z23" s="72" t="n"/>
      <c r="AA23" s="72" t="n"/>
      <c r="AB23" s="72" t="n"/>
      <c r="AC23" s="72" t="n"/>
      <c r="AD23" s="72" t="n"/>
      <c r="AE23" s="72" t="n"/>
      <c r="AF23" s="72" t="n"/>
      <c r="AG23" s="42" t="n"/>
      <c r="AH23" s="72" t="n"/>
      <c r="AI23" s="72" t="n"/>
      <c r="AJ23" s="72" t="n"/>
      <c r="AK23" s="72" t="n"/>
      <c r="AL23" s="72" t="n"/>
      <c r="AM23" s="72" t="n"/>
      <c r="AN23" s="72" t="n"/>
      <c r="AO23" s="42" t="n"/>
      <c r="AP23" s="72" t="n"/>
      <c r="AQ23" s="72" t="n"/>
      <c r="AR23" s="72" t="n"/>
      <c r="AS23" s="72" t="n"/>
      <c r="AT23" s="72" t="n"/>
      <c r="AU23" s="72" t="n"/>
      <c r="AV23" s="72" t="n"/>
      <c r="AW23" s="42" t="n"/>
      <c r="AX23" s="72" t="n"/>
      <c r="AY23" s="72" t="n"/>
      <c r="AZ23" s="72" t="n"/>
      <c r="BA23" s="72" t="n"/>
      <c r="BB23" s="72" t="n"/>
      <c r="BC23" s="72" t="n"/>
      <c r="BD23" s="72" t="n"/>
    </row>
    <row r="24" ht="22" customHeight="1">
      <c r="B24" s="68" t="inlineStr">
        <is>
          <t>Просмотры постов</t>
        </is>
      </c>
      <c r="C24" s="69" t="n"/>
      <c r="D24" s="69">
        <f>SUM(SUM(J24:P24)+SUM(R24:X24)+SUM(Z24:AF24)+SUM(AH24:AN24)+SUM(AP24:AV24)+SUM(AX24:BD24))</f>
        <v/>
      </c>
      <c r="E24" s="70">
        <f>IFERROR(D24/C24,"")</f>
        <v/>
      </c>
      <c r="F24" s="69">
        <f>IFERROR(D24/IF(DAY(TODAY())=0,1,DAY(TODAY()))*G3,"")</f>
        <v/>
      </c>
      <c r="G24" s="70">
        <f>IFERROR(F24/C24,"")</f>
        <v/>
      </c>
      <c r="I24" s="42" t="n"/>
      <c r="J24" s="69" t="n"/>
      <c r="K24" s="69" t="n"/>
      <c r="L24" s="69" t="n"/>
      <c r="M24" s="69" t="n"/>
      <c r="N24" s="69" t="n"/>
      <c r="O24" s="69" t="n"/>
      <c r="P24" s="69" t="n"/>
      <c r="Q24" s="42" t="n"/>
      <c r="R24" s="69" t="n"/>
      <c r="S24" s="69" t="n"/>
      <c r="T24" s="69" t="n"/>
      <c r="U24" s="69" t="n"/>
      <c r="V24" s="69" t="n"/>
      <c r="W24" s="69" t="n"/>
      <c r="X24" s="69" t="n"/>
      <c r="Y24" s="42" t="n"/>
      <c r="Z24" s="69" t="n"/>
      <c r="AA24" s="69" t="n"/>
      <c r="AB24" s="69" t="n"/>
      <c r="AC24" s="69" t="n"/>
      <c r="AD24" s="69" t="n"/>
      <c r="AE24" s="69" t="n"/>
      <c r="AF24" s="69" t="n"/>
      <c r="AG24" s="42" t="n"/>
      <c r="AH24" s="69" t="n"/>
      <c r="AI24" s="69" t="n"/>
      <c r="AJ24" s="69" t="n"/>
      <c r="AK24" s="69" t="n"/>
      <c r="AL24" s="69" t="n"/>
      <c r="AM24" s="69" t="n"/>
      <c r="AN24" s="69" t="n"/>
      <c r="AO24" s="42" t="n"/>
      <c r="AP24" s="69" t="n"/>
      <c r="AQ24" s="69" t="n"/>
      <c r="AR24" s="69" t="n"/>
      <c r="AS24" s="69" t="n"/>
      <c r="AT24" s="69" t="n"/>
      <c r="AU24" s="69" t="n"/>
      <c r="AV24" s="69" t="n"/>
      <c r="AW24" s="42" t="n"/>
      <c r="AX24" s="69" t="n"/>
      <c r="AY24" s="69" t="n"/>
      <c r="AZ24" s="69" t="n"/>
      <c r="BA24" s="69" t="n"/>
      <c r="BB24" s="69" t="n"/>
      <c r="BC24" s="69" t="n"/>
      <c r="BD24" s="69" t="n"/>
    </row>
    <row r="25" ht="22" customHeight="1">
      <c r="B25" s="71" t="inlineStr">
        <is>
          <t>Переходы</t>
        </is>
      </c>
      <c r="C25" s="72" t="n"/>
      <c r="D25" s="72">
        <f>SUM(SUM(J25:P25)+SUM(R25:X25)+SUM(Z25:AF25)+SUM(AH25:AN25)+SUM(AP25:AV25)+SUM(AX25:BD25))</f>
        <v/>
      </c>
      <c r="E25" s="73">
        <f>IFERROR(D25/C25,"")</f>
        <v/>
      </c>
      <c r="F25" s="72">
        <f>IFERROR(D25/IF(DAY(TODAY())=0,1,DAY(TODAY()))*G3,"")</f>
        <v/>
      </c>
      <c r="G25" s="73">
        <f>IFERROR(F25/C25,"")</f>
        <v/>
      </c>
      <c r="I25" s="42" t="n"/>
      <c r="J25" s="72" t="n"/>
      <c r="K25" s="72" t="n"/>
      <c r="L25" s="72" t="n"/>
      <c r="M25" s="72" t="n"/>
      <c r="N25" s="72" t="n"/>
      <c r="O25" s="72" t="n"/>
      <c r="P25" s="72" t="n"/>
      <c r="Q25" s="42" t="n"/>
      <c r="R25" s="72" t="n"/>
      <c r="S25" s="72" t="n"/>
      <c r="T25" s="72" t="n"/>
      <c r="U25" s="72" t="n"/>
      <c r="V25" s="72" t="n"/>
      <c r="W25" s="72" t="n"/>
      <c r="X25" s="72" t="n"/>
      <c r="Y25" s="42" t="n"/>
      <c r="Z25" s="72" t="n"/>
      <c r="AA25" s="72" t="n"/>
      <c r="AB25" s="72" t="n"/>
      <c r="AC25" s="72" t="n"/>
      <c r="AD25" s="72" t="n"/>
      <c r="AE25" s="72" t="n"/>
      <c r="AF25" s="72" t="n"/>
      <c r="AG25" s="42" t="n"/>
      <c r="AH25" s="72" t="n"/>
      <c r="AI25" s="72" t="n"/>
      <c r="AJ25" s="72" t="n"/>
      <c r="AK25" s="72" t="n"/>
      <c r="AL25" s="72" t="n"/>
      <c r="AM25" s="72" t="n"/>
      <c r="AN25" s="72" t="n"/>
      <c r="AO25" s="42" t="n"/>
      <c r="AP25" s="72" t="n"/>
      <c r="AQ25" s="72" t="n"/>
      <c r="AR25" s="72" t="n"/>
      <c r="AS25" s="72" t="n"/>
      <c r="AT25" s="72" t="n"/>
      <c r="AU25" s="72" t="n"/>
      <c r="AV25" s="72" t="n"/>
      <c r="AW25" s="42" t="n"/>
      <c r="AX25" s="72" t="n"/>
      <c r="AY25" s="72" t="n"/>
      <c r="AZ25" s="72" t="n"/>
      <c r="BA25" s="72" t="n"/>
      <c r="BB25" s="72" t="n"/>
      <c r="BC25" s="72" t="n"/>
      <c r="BD25" s="72" t="n"/>
    </row>
    <row r="26" ht="22" customHeight="1">
      <c r="B26" s="68" t="inlineStr">
        <is>
          <t>Лиды из посевов</t>
        </is>
      </c>
      <c r="C26" s="69" t="n"/>
      <c r="D26" s="69">
        <f>SUM(SUM(J26:P26)+SUM(R26:X26)+SUM(Z26:AF26)+SUM(AH26:AN26)+SUM(AP26:AV26)+SUM(AX26:BD26))</f>
        <v/>
      </c>
      <c r="E26" s="70">
        <f>IFERROR(D26/C26,"")</f>
        <v/>
      </c>
      <c r="F26" s="69">
        <f>IFERROR(D26/IF(DAY(TODAY())=0,1,DAY(TODAY()))*G3,"")</f>
        <v/>
      </c>
      <c r="G26" s="70">
        <f>IFERROR(F26/C26,"")</f>
        <v/>
      </c>
      <c r="I26" s="42" t="n"/>
      <c r="J26" s="69" t="n"/>
      <c r="K26" s="69" t="n"/>
      <c r="L26" s="69" t="n"/>
      <c r="M26" s="69" t="n"/>
      <c r="N26" s="69" t="n"/>
      <c r="O26" s="69" t="n"/>
      <c r="P26" s="69" t="n"/>
      <c r="Q26" s="42" t="n"/>
      <c r="R26" s="69" t="n"/>
      <c r="S26" s="69" t="n"/>
      <c r="T26" s="69" t="n"/>
      <c r="U26" s="69" t="n"/>
      <c r="V26" s="69" t="n"/>
      <c r="W26" s="69" t="n"/>
      <c r="X26" s="69" t="n"/>
      <c r="Y26" s="42" t="n"/>
      <c r="Z26" s="69" t="n"/>
      <c r="AA26" s="69" t="n"/>
      <c r="AB26" s="69" t="n"/>
      <c r="AC26" s="69" t="n"/>
      <c r="AD26" s="69" t="n"/>
      <c r="AE26" s="69" t="n"/>
      <c r="AF26" s="69" t="n"/>
      <c r="AG26" s="42" t="n"/>
      <c r="AH26" s="69" t="n"/>
      <c r="AI26" s="69" t="n"/>
      <c r="AJ26" s="69" t="n"/>
      <c r="AK26" s="69" t="n"/>
      <c r="AL26" s="69" t="n"/>
      <c r="AM26" s="69" t="n"/>
      <c r="AN26" s="69" t="n"/>
      <c r="AO26" s="42" t="n"/>
      <c r="AP26" s="69" t="n"/>
      <c r="AQ26" s="69" t="n"/>
      <c r="AR26" s="69" t="n"/>
      <c r="AS26" s="69" t="n"/>
      <c r="AT26" s="69" t="n"/>
      <c r="AU26" s="69" t="n"/>
      <c r="AV26" s="69" t="n"/>
      <c r="AW26" s="42" t="n"/>
      <c r="AX26" s="69" t="n"/>
      <c r="AY26" s="69" t="n"/>
      <c r="AZ26" s="69" t="n"/>
      <c r="BA26" s="69" t="n"/>
      <c r="BB26" s="69" t="n"/>
      <c r="BC26" s="69" t="n"/>
      <c r="BD26" s="69" t="n"/>
    </row>
    <row r="27" ht="22" customHeight="1">
      <c r="B27" s="71" t="inlineStr">
        <is>
          <t>Стоимость лида (₽)</t>
        </is>
      </c>
      <c r="C27" s="72" t="n"/>
      <c r="D27" s="72">
        <f>SUM(SUM(J27:P27)+SUM(R27:X27)+SUM(Z27:AF27)+SUM(AH27:AN27)+SUM(AP27:AV27)+SUM(AX27:BD27))</f>
        <v/>
      </c>
      <c r="E27" s="73">
        <f>IFERROR(D27/C27,"")</f>
        <v/>
      </c>
      <c r="F27" s="72">
        <f>IFERROR(D27/IF(DAY(TODAY())=0,1,DAY(TODAY()))*G3,"")</f>
        <v/>
      </c>
      <c r="G27" s="73">
        <f>IFERROR(F27/C27,"")</f>
        <v/>
      </c>
      <c r="I27" s="42" t="n"/>
      <c r="J27" s="72" t="n"/>
      <c r="K27" s="72" t="n"/>
      <c r="L27" s="72" t="n"/>
      <c r="M27" s="72" t="n"/>
      <c r="N27" s="72" t="n"/>
      <c r="O27" s="72" t="n"/>
      <c r="P27" s="72" t="n"/>
      <c r="Q27" s="42" t="n"/>
      <c r="R27" s="72" t="n"/>
      <c r="S27" s="72" t="n"/>
      <c r="T27" s="72" t="n"/>
      <c r="U27" s="72" t="n"/>
      <c r="V27" s="72" t="n"/>
      <c r="W27" s="72" t="n"/>
      <c r="X27" s="72" t="n"/>
      <c r="Y27" s="42" t="n"/>
      <c r="Z27" s="72" t="n"/>
      <c r="AA27" s="72" t="n"/>
      <c r="AB27" s="72" t="n"/>
      <c r="AC27" s="72" t="n"/>
      <c r="AD27" s="72" t="n"/>
      <c r="AE27" s="72" t="n"/>
      <c r="AF27" s="72" t="n"/>
      <c r="AG27" s="42" t="n"/>
      <c r="AH27" s="72" t="n"/>
      <c r="AI27" s="72" t="n"/>
      <c r="AJ27" s="72" t="n"/>
      <c r="AK27" s="72" t="n"/>
      <c r="AL27" s="72" t="n"/>
      <c r="AM27" s="72" t="n"/>
      <c r="AN27" s="72" t="n"/>
      <c r="AO27" s="42" t="n"/>
      <c r="AP27" s="72" t="n"/>
      <c r="AQ27" s="72" t="n"/>
      <c r="AR27" s="72" t="n"/>
      <c r="AS27" s="72" t="n"/>
      <c r="AT27" s="72" t="n"/>
      <c r="AU27" s="72" t="n"/>
      <c r="AV27" s="72" t="n"/>
      <c r="AW27" s="42" t="n"/>
      <c r="AX27" s="72" t="n"/>
      <c r="AY27" s="72" t="n"/>
      <c r="AZ27" s="72" t="n"/>
      <c r="BA27" s="72" t="n"/>
      <c r="BB27" s="72" t="n"/>
      <c r="BC27" s="72" t="n"/>
      <c r="BD27" s="72" t="n"/>
    </row>
    <row r="28" ht="6" customHeight="1"/>
    <row r="29" ht="20" customHeight="1">
      <c r="B29" s="90" t="inlineStr">
        <is>
          <t>YOUTUBE</t>
        </is>
      </c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4" t="n"/>
    </row>
    <row r="30" ht="22" customHeight="1">
      <c r="B30" s="68" t="inlineStr">
        <is>
          <t>Бюджет YouTube (₽)</t>
        </is>
      </c>
      <c r="C30" s="69" t="n"/>
      <c r="D30" s="69">
        <f>SUM(SUM(J30:P30)+SUM(R30:X30)+SUM(Z30:AF30)+SUM(AH30:AN30)+SUM(AP30:AV30)+SUM(AX30:BD30))</f>
        <v/>
      </c>
      <c r="E30" s="70">
        <f>IFERROR(D30/C30,"")</f>
        <v/>
      </c>
      <c r="F30" s="69">
        <f>IFERROR(D30/IF(DAY(TODAY())=0,1,DAY(TODAY()))*G3,"")</f>
        <v/>
      </c>
      <c r="G30" s="70">
        <f>IFERROR(F30/C30,"")</f>
        <v/>
      </c>
      <c r="I30" s="42" t="n"/>
      <c r="J30" s="69" t="n"/>
      <c r="K30" s="69" t="n"/>
      <c r="L30" s="69" t="n"/>
      <c r="M30" s="69" t="n"/>
      <c r="N30" s="69" t="n"/>
      <c r="O30" s="69" t="n"/>
      <c r="P30" s="69" t="n"/>
      <c r="Q30" s="42" t="n"/>
      <c r="R30" s="69" t="n"/>
      <c r="S30" s="69" t="n"/>
      <c r="T30" s="69" t="n"/>
      <c r="U30" s="69" t="n"/>
      <c r="V30" s="69" t="n"/>
      <c r="W30" s="69" t="n"/>
      <c r="X30" s="69" t="n"/>
      <c r="Y30" s="42" t="n"/>
      <c r="Z30" s="69" t="n"/>
      <c r="AA30" s="69" t="n"/>
      <c r="AB30" s="69" t="n"/>
      <c r="AC30" s="69" t="n"/>
      <c r="AD30" s="69" t="n"/>
      <c r="AE30" s="69" t="n"/>
      <c r="AF30" s="69" t="n"/>
      <c r="AG30" s="42" t="n"/>
      <c r="AH30" s="69" t="n"/>
      <c r="AI30" s="69" t="n"/>
      <c r="AJ30" s="69" t="n"/>
      <c r="AK30" s="69" t="n"/>
      <c r="AL30" s="69" t="n"/>
      <c r="AM30" s="69" t="n"/>
      <c r="AN30" s="69" t="n"/>
      <c r="AO30" s="42" t="n"/>
      <c r="AP30" s="69" t="n"/>
      <c r="AQ30" s="69" t="n"/>
      <c r="AR30" s="69" t="n"/>
      <c r="AS30" s="69" t="n"/>
      <c r="AT30" s="69" t="n"/>
      <c r="AU30" s="69" t="n"/>
      <c r="AV30" s="69" t="n"/>
      <c r="AW30" s="42" t="n"/>
      <c r="AX30" s="69" t="n"/>
      <c r="AY30" s="69" t="n"/>
      <c r="AZ30" s="69" t="n"/>
      <c r="BA30" s="69" t="n"/>
      <c r="BB30" s="69" t="n"/>
      <c r="BC30" s="69" t="n"/>
      <c r="BD30" s="69" t="n"/>
    </row>
    <row r="31" ht="22" customHeight="1">
      <c r="B31" s="71" t="inlineStr">
        <is>
          <t>Подписчики (накоп.)</t>
        </is>
      </c>
      <c r="C31" s="72" t="n"/>
      <c r="D31" s="72">
        <f>SUM(SUM(J31:P31)+SUM(R31:X31)+SUM(Z31:AF31)+SUM(AH31:AN31)+SUM(AP31:AV31)+SUM(AX31:BD31))</f>
        <v/>
      </c>
      <c r="E31" s="73">
        <f>IFERROR(D31/C31,"")</f>
        <v/>
      </c>
      <c r="F31" s="72">
        <f>IFERROR(D31/IF(DAY(TODAY())=0,1,DAY(TODAY()))*G3,"")</f>
        <v/>
      </c>
      <c r="G31" s="73">
        <f>IFERROR(F31/C31,"")</f>
        <v/>
      </c>
      <c r="I31" s="42" t="n"/>
      <c r="J31" s="72" t="n"/>
      <c r="K31" s="72" t="n"/>
      <c r="L31" s="72" t="n"/>
      <c r="M31" s="72" t="n"/>
      <c r="N31" s="72" t="n"/>
      <c r="O31" s="72" t="n"/>
      <c r="P31" s="72" t="n"/>
      <c r="Q31" s="42" t="n"/>
      <c r="R31" s="72" t="n"/>
      <c r="S31" s="72" t="n"/>
      <c r="T31" s="72" t="n"/>
      <c r="U31" s="72" t="n"/>
      <c r="V31" s="72" t="n"/>
      <c r="W31" s="72" t="n"/>
      <c r="X31" s="72" t="n"/>
      <c r="Y31" s="42" t="n"/>
      <c r="Z31" s="72" t="n"/>
      <c r="AA31" s="72" t="n"/>
      <c r="AB31" s="72" t="n"/>
      <c r="AC31" s="72" t="n"/>
      <c r="AD31" s="72" t="n"/>
      <c r="AE31" s="72" t="n"/>
      <c r="AF31" s="72" t="n"/>
      <c r="AG31" s="42" t="n"/>
      <c r="AH31" s="72" t="n"/>
      <c r="AI31" s="72" t="n"/>
      <c r="AJ31" s="72" t="n"/>
      <c r="AK31" s="72" t="n"/>
      <c r="AL31" s="72" t="n"/>
      <c r="AM31" s="72" t="n"/>
      <c r="AN31" s="72" t="n"/>
      <c r="AO31" s="42" t="n"/>
      <c r="AP31" s="72" t="n"/>
      <c r="AQ31" s="72" t="n"/>
      <c r="AR31" s="72" t="n"/>
      <c r="AS31" s="72" t="n"/>
      <c r="AT31" s="72" t="n"/>
      <c r="AU31" s="72" t="n"/>
      <c r="AV31" s="72" t="n"/>
      <c r="AW31" s="42" t="n"/>
      <c r="AX31" s="72" t="n"/>
      <c r="AY31" s="72" t="n"/>
      <c r="AZ31" s="72" t="n"/>
      <c r="BA31" s="72" t="n"/>
      <c r="BB31" s="72" t="n"/>
      <c r="BC31" s="72" t="n"/>
      <c r="BD31" s="72" t="n"/>
    </row>
    <row r="32" ht="22" customHeight="1">
      <c r="B32" s="68" t="inlineStr">
        <is>
          <t>Контентных единиц</t>
        </is>
      </c>
      <c r="C32" s="69" t="n"/>
      <c r="D32" s="69">
        <f>SUM(SUM(J32:P32)+SUM(R32:X32)+SUM(Z32:AF32)+SUM(AH32:AN32)+SUM(AP32:AV32)+SUM(AX32:BD32))</f>
        <v/>
      </c>
      <c r="E32" s="70">
        <f>IFERROR(D32/C32,"")</f>
        <v/>
      </c>
      <c r="F32" s="69">
        <f>IFERROR(D32/IF(DAY(TODAY())=0,1,DAY(TODAY()))*G3,"")</f>
        <v/>
      </c>
      <c r="G32" s="70">
        <f>IFERROR(F32/C32,"")</f>
        <v/>
      </c>
      <c r="I32" s="42" t="n"/>
      <c r="J32" s="69" t="n"/>
      <c r="K32" s="69" t="n"/>
      <c r="L32" s="69" t="n"/>
      <c r="M32" s="69" t="n"/>
      <c r="N32" s="69" t="n"/>
      <c r="O32" s="69" t="n"/>
      <c r="P32" s="69" t="n"/>
      <c r="Q32" s="42" t="n"/>
      <c r="R32" s="69" t="n"/>
      <c r="S32" s="69" t="n"/>
      <c r="T32" s="69" t="n"/>
      <c r="U32" s="69" t="n"/>
      <c r="V32" s="69" t="n"/>
      <c r="W32" s="69" t="n"/>
      <c r="X32" s="69" t="n"/>
      <c r="Y32" s="42" t="n"/>
      <c r="Z32" s="69" t="n"/>
      <c r="AA32" s="69" t="n"/>
      <c r="AB32" s="69" t="n"/>
      <c r="AC32" s="69" t="n"/>
      <c r="AD32" s="69" t="n"/>
      <c r="AE32" s="69" t="n"/>
      <c r="AF32" s="69" t="n"/>
      <c r="AG32" s="42" t="n"/>
      <c r="AH32" s="69" t="n"/>
      <c r="AI32" s="69" t="n"/>
      <c r="AJ32" s="69" t="n"/>
      <c r="AK32" s="69" t="n"/>
      <c r="AL32" s="69" t="n"/>
      <c r="AM32" s="69" t="n"/>
      <c r="AN32" s="69" t="n"/>
      <c r="AO32" s="42" t="n"/>
      <c r="AP32" s="69" t="n"/>
      <c r="AQ32" s="69" t="n"/>
      <c r="AR32" s="69" t="n"/>
      <c r="AS32" s="69" t="n"/>
      <c r="AT32" s="69" t="n"/>
      <c r="AU32" s="69" t="n"/>
      <c r="AV32" s="69" t="n"/>
      <c r="AW32" s="42" t="n"/>
      <c r="AX32" s="69" t="n"/>
      <c r="AY32" s="69" t="n"/>
      <c r="AZ32" s="69" t="n"/>
      <c r="BA32" s="69" t="n"/>
      <c r="BB32" s="69" t="n"/>
      <c r="BC32" s="69" t="n"/>
      <c r="BD32" s="69" t="n"/>
    </row>
    <row r="33" ht="22" customHeight="1">
      <c r="B33" s="71" t="inlineStr">
        <is>
          <t>Просмотры</t>
        </is>
      </c>
      <c r="C33" s="72" t="n"/>
      <c r="D33" s="72">
        <f>SUM(SUM(J33:P33)+SUM(R33:X33)+SUM(Z33:AF33)+SUM(AH33:AN33)+SUM(AP33:AV33)+SUM(AX33:BD33))</f>
        <v/>
      </c>
      <c r="E33" s="73">
        <f>IFERROR(D33/C33,"")</f>
        <v/>
      </c>
      <c r="F33" s="72">
        <f>IFERROR(D33/IF(DAY(TODAY())=0,1,DAY(TODAY()))*G3,"")</f>
        <v/>
      </c>
      <c r="G33" s="73">
        <f>IFERROR(F33/C33,"")</f>
        <v/>
      </c>
      <c r="I33" s="42" t="n"/>
      <c r="J33" s="72" t="n"/>
      <c r="K33" s="72" t="n"/>
      <c r="L33" s="72" t="n"/>
      <c r="M33" s="72" t="n"/>
      <c r="N33" s="72" t="n"/>
      <c r="O33" s="72" t="n"/>
      <c r="P33" s="72" t="n"/>
      <c r="Q33" s="42" t="n"/>
      <c r="R33" s="72" t="n"/>
      <c r="S33" s="72" t="n"/>
      <c r="T33" s="72" t="n"/>
      <c r="U33" s="72" t="n"/>
      <c r="V33" s="72" t="n"/>
      <c r="W33" s="72" t="n"/>
      <c r="X33" s="72" t="n"/>
      <c r="Y33" s="42" t="n"/>
      <c r="Z33" s="72" t="n"/>
      <c r="AA33" s="72" t="n"/>
      <c r="AB33" s="72" t="n"/>
      <c r="AC33" s="72" t="n"/>
      <c r="AD33" s="72" t="n"/>
      <c r="AE33" s="72" t="n"/>
      <c r="AF33" s="72" t="n"/>
      <c r="AG33" s="42" t="n"/>
      <c r="AH33" s="72" t="n"/>
      <c r="AI33" s="72" t="n"/>
      <c r="AJ33" s="72" t="n"/>
      <c r="AK33" s="72" t="n"/>
      <c r="AL33" s="72" t="n"/>
      <c r="AM33" s="72" t="n"/>
      <c r="AN33" s="72" t="n"/>
      <c r="AO33" s="42" t="n"/>
      <c r="AP33" s="72" t="n"/>
      <c r="AQ33" s="72" t="n"/>
      <c r="AR33" s="72" t="n"/>
      <c r="AS33" s="72" t="n"/>
      <c r="AT33" s="72" t="n"/>
      <c r="AU33" s="72" t="n"/>
      <c r="AV33" s="72" t="n"/>
      <c r="AW33" s="42" t="n"/>
      <c r="AX33" s="72" t="n"/>
      <c r="AY33" s="72" t="n"/>
      <c r="AZ33" s="72" t="n"/>
      <c r="BA33" s="72" t="n"/>
      <c r="BB33" s="72" t="n"/>
      <c r="BC33" s="72" t="n"/>
      <c r="BD33" s="72" t="n"/>
    </row>
    <row r="34" ht="22" customHeight="1">
      <c r="B34" s="68" t="inlineStr">
        <is>
          <t>Лиды из YouTube</t>
        </is>
      </c>
      <c r="C34" s="69" t="n"/>
      <c r="D34" s="69">
        <f>SUM(SUM(J34:P34)+SUM(R34:X34)+SUM(Z34:AF34)+SUM(AH34:AN34)+SUM(AP34:AV34)+SUM(AX34:BD34))</f>
        <v/>
      </c>
      <c r="E34" s="70">
        <f>IFERROR(D34/C34,"")</f>
        <v/>
      </c>
      <c r="F34" s="69">
        <f>IFERROR(D34/IF(DAY(TODAY())=0,1,DAY(TODAY()))*G3,"")</f>
        <v/>
      </c>
      <c r="G34" s="70">
        <f>IFERROR(F34/C34,"")</f>
        <v/>
      </c>
      <c r="I34" s="42" t="n"/>
      <c r="J34" s="69" t="n"/>
      <c r="K34" s="69" t="n"/>
      <c r="L34" s="69" t="n"/>
      <c r="M34" s="69" t="n"/>
      <c r="N34" s="69" t="n"/>
      <c r="O34" s="69" t="n"/>
      <c r="P34" s="69" t="n"/>
      <c r="Q34" s="42" t="n"/>
      <c r="R34" s="69" t="n"/>
      <c r="S34" s="69" t="n"/>
      <c r="T34" s="69" t="n"/>
      <c r="U34" s="69" t="n"/>
      <c r="V34" s="69" t="n"/>
      <c r="W34" s="69" t="n"/>
      <c r="X34" s="69" t="n"/>
      <c r="Y34" s="42" t="n"/>
      <c r="Z34" s="69" t="n"/>
      <c r="AA34" s="69" t="n"/>
      <c r="AB34" s="69" t="n"/>
      <c r="AC34" s="69" t="n"/>
      <c r="AD34" s="69" t="n"/>
      <c r="AE34" s="69" t="n"/>
      <c r="AF34" s="69" t="n"/>
      <c r="AG34" s="42" t="n"/>
      <c r="AH34" s="69" t="n"/>
      <c r="AI34" s="69" t="n"/>
      <c r="AJ34" s="69" t="n"/>
      <c r="AK34" s="69" t="n"/>
      <c r="AL34" s="69" t="n"/>
      <c r="AM34" s="69" t="n"/>
      <c r="AN34" s="69" t="n"/>
      <c r="AO34" s="42" t="n"/>
      <c r="AP34" s="69" t="n"/>
      <c r="AQ34" s="69" t="n"/>
      <c r="AR34" s="69" t="n"/>
      <c r="AS34" s="69" t="n"/>
      <c r="AT34" s="69" t="n"/>
      <c r="AU34" s="69" t="n"/>
      <c r="AV34" s="69" t="n"/>
      <c r="AW34" s="42" t="n"/>
      <c r="AX34" s="69" t="n"/>
      <c r="AY34" s="69" t="n"/>
      <c r="AZ34" s="69" t="n"/>
      <c r="BA34" s="69" t="n"/>
      <c r="BB34" s="69" t="n"/>
      <c r="BC34" s="69" t="n"/>
      <c r="BD34" s="69" t="n"/>
    </row>
    <row r="35" ht="22" customHeight="1">
      <c r="B35" s="71" t="inlineStr">
        <is>
          <t>Стоимость лида YT (₽)</t>
        </is>
      </c>
      <c r="C35" s="72" t="n"/>
      <c r="D35" s="72">
        <f>SUM(SUM(J35:P35)+SUM(R35:X35)+SUM(Z35:AF35)+SUM(AH35:AN35)+SUM(AP35:AV35)+SUM(AX35:BD35))</f>
        <v/>
      </c>
      <c r="E35" s="73">
        <f>IFERROR(D35/C35,"")</f>
        <v/>
      </c>
      <c r="F35" s="72">
        <f>IFERROR(D35/IF(DAY(TODAY())=0,1,DAY(TODAY()))*G3,"")</f>
        <v/>
      </c>
      <c r="G35" s="73">
        <f>IFERROR(F35/C35,"")</f>
        <v/>
      </c>
      <c r="I35" s="42" t="n"/>
      <c r="J35" s="72" t="n"/>
      <c r="K35" s="72" t="n"/>
      <c r="L35" s="72" t="n"/>
      <c r="M35" s="72" t="n"/>
      <c r="N35" s="72" t="n"/>
      <c r="O35" s="72" t="n"/>
      <c r="P35" s="72" t="n"/>
      <c r="Q35" s="42" t="n"/>
      <c r="R35" s="72" t="n"/>
      <c r="S35" s="72" t="n"/>
      <c r="T35" s="72" t="n"/>
      <c r="U35" s="72" t="n"/>
      <c r="V35" s="72" t="n"/>
      <c r="W35" s="72" t="n"/>
      <c r="X35" s="72" t="n"/>
      <c r="Y35" s="42" t="n"/>
      <c r="Z35" s="72" t="n"/>
      <c r="AA35" s="72" t="n"/>
      <c r="AB35" s="72" t="n"/>
      <c r="AC35" s="72" t="n"/>
      <c r="AD35" s="72" t="n"/>
      <c r="AE35" s="72" t="n"/>
      <c r="AF35" s="72" t="n"/>
      <c r="AG35" s="42" t="n"/>
      <c r="AH35" s="72" t="n"/>
      <c r="AI35" s="72" t="n"/>
      <c r="AJ35" s="72" t="n"/>
      <c r="AK35" s="72" t="n"/>
      <c r="AL35" s="72" t="n"/>
      <c r="AM35" s="72" t="n"/>
      <c r="AN35" s="72" t="n"/>
      <c r="AO35" s="42" t="n"/>
      <c r="AP35" s="72" t="n"/>
      <c r="AQ35" s="72" t="n"/>
      <c r="AR35" s="72" t="n"/>
      <c r="AS35" s="72" t="n"/>
      <c r="AT35" s="72" t="n"/>
      <c r="AU35" s="72" t="n"/>
      <c r="AV35" s="72" t="n"/>
      <c r="AW35" s="42" t="n"/>
      <c r="AX35" s="72" t="n"/>
      <c r="AY35" s="72" t="n"/>
      <c r="AZ35" s="72" t="n"/>
      <c r="BA35" s="72" t="n"/>
      <c r="BB35" s="72" t="n"/>
      <c r="BC35" s="72" t="n"/>
      <c r="BD35" s="72" t="n"/>
    </row>
    <row r="36" ht="6" customHeight="1"/>
    <row r="37" ht="20" customHeight="1">
      <c r="B37" s="90" t="inlineStr">
        <is>
          <t>АВИТО / ДРУГИЕ КАНАЛЫ</t>
        </is>
      </c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4" t="n"/>
    </row>
    <row r="38" ht="22" customHeight="1">
      <c r="B38" s="68" t="inlineStr">
        <is>
          <t>Бюджет Авито (₽)</t>
        </is>
      </c>
      <c r="C38" s="69" t="n"/>
      <c r="D38" s="69">
        <f>SUM(SUM(J38:P38)+SUM(R38:X38)+SUM(Z38:AF38)+SUM(AH38:AN38)+SUM(AP38:AV38)+SUM(AX38:BD38))</f>
        <v/>
      </c>
      <c r="E38" s="70">
        <f>IFERROR(D38/C38,"")</f>
        <v/>
      </c>
      <c r="F38" s="69">
        <f>IFERROR(D38/IF(DAY(TODAY())=0,1,DAY(TODAY()))*G3,"")</f>
        <v/>
      </c>
      <c r="G38" s="70">
        <f>IFERROR(F38/C38,"")</f>
        <v/>
      </c>
      <c r="I38" s="42" t="n"/>
      <c r="J38" s="69" t="n"/>
      <c r="K38" s="69" t="n"/>
      <c r="L38" s="69" t="n"/>
      <c r="M38" s="69" t="n"/>
      <c r="N38" s="69" t="n"/>
      <c r="O38" s="69" t="n"/>
      <c r="P38" s="69" t="n"/>
      <c r="Q38" s="42" t="n"/>
      <c r="R38" s="69" t="n"/>
      <c r="S38" s="69" t="n"/>
      <c r="T38" s="69" t="n"/>
      <c r="U38" s="69" t="n"/>
      <c r="V38" s="69" t="n"/>
      <c r="W38" s="69" t="n"/>
      <c r="X38" s="69" t="n"/>
      <c r="Y38" s="42" t="n"/>
      <c r="Z38" s="69" t="n"/>
      <c r="AA38" s="69" t="n"/>
      <c r="AB38" s="69" t="n"/>
      <c r="AC38" s="69" t="n"/>
      <c r="AD38" s="69" t="n"/>
      <c r="AE38" s="69" t="n"/>
      <c r="AF38" s="69" t="n"/>
      <c r="AG38" s="42" t="n"/>
      <c r="AH38" s="69" t="n"/>
      <c r="AI38" s="69" t="n"/>
      <c r="AJ38" s="69" t="n"/>
      <c r="AK38" s="69" t="n"/>
      <c r="AL38" s="69" t="n"/>
      <c r="AM38" s="69" t="n"/>
      <c r="AN38" s="69" t="n"/>
      <c r="AO38" s="42" t="n"/>
      <c r="AP38" s="69" t="n"/>
      <c r="AQ38" s="69" t="n"/>
      <c r="AR38" s="69" t="n"/>
      <c r="AS38" s="69" t="n"/>
      <c r="AT38" s="69" t="n"/>
      <c r="AU38" s="69" t="n"/>
      <c r="AV38" s="69" t="n"/>
      <c r="AW38" s="42" t="n"/>
      <c r="AX38" s="69" t="n"/>
      <c r="AY38" s="69" t="n"/>
      <c r="AZ38" s="69" t="n"/>
      <c r="BA38" s="69" t="n"/>
      <c r="BB38" s="69" t="n"/>
      <c r="BC38" s="69" t="n"/>
      <c r="BD38" s="69" t="n"/>
    </row>
    <row r="39" ht="22" customHeight="1">
      <c r="B39" s="71" t="inlineStr">
        <is>
          <t>Активных объявлений</t>
        </is>
      </c>
      <c r="C39" s="72" t="n"/>
      <c r="D39" s="72">
        <f>SUM(SUM(J39:P39)+SUM(R39:X39)+SUM(Z39:AF39)+SUM(AH39:AN39)+SUM(AP39:AV39)+SUM(AX39:BD39))</f>
        <v/>
      </c>
      <c r="E39" s="73">
        <f>IFERROR(D39/C39,"")</f>
        <v/>
      </c>
      <c r="F39" s="72">
        <f>IFERROR(D39/IF(DAY(TODAY())=0,1,DAY(TODAY()))*G3,"")</f>
        <v/>
      </c>
      <c r="G39" s="73">
        <f>IFERROR(F39/C39,"")</f>
        <v/>
      </c>
      <c r="I39" s="42" t="n"/>
      <c r="J39" s="72" t="n"/>
      <c r="K39" s="72" t="n"/>
      <c r="L39" s="72" t="n"/>
      <c r="M39" s="72" t="n"/>
      <c r="N39" s="72" t="n"/>
      <c r="O39" s="72" t="n"/>
      <c r="P39" s="72" t="n"/>
      <c r="Q39" s="42" t="n"/>
      <c r="R39" s="72" t="n"/>
      <c r="S39" s="72" t="n"/>
      <c r="T39" s="72" t="n"/>
      <c r="U39" s="72" t="n"/>
      <c r="V39" s="72" t="n"/>
      <c r="W39" s="72" t="n"/>
      <c r="X39" s="72" t="n"/>
      <c r="Y39" s="42" t="n"/>
      <c r="Z39" s="72" t="n"/>
      <c r="AA39" s="72" t="n"/>
      <c r="AB39" s="72" t="n"/>
      <c r="AC39" s="72" t="n"/>
      <c r="AD39" s="72" t="n"/>
      <c r="AE39" s="72" t="n"/>
      <c r="AF39" s="72" t="n"/>
      <c r="AG39" s="42" t="n"/>
      <c r="AH39" s="72" t="n"/>
      <c r="AI39" s="72" t="n"/>
      <c r="AJ39" s="72" t="n"/>
      <c r="AK39" s="72" t="n"/>
      <c r="AL39" s="72" t="n"/>
      <c r="AM39" s="72" t="n"/>
      <c r="AN39" s="72" t="n"/>
      <c r="AO39" s="42" t="n"/>
      <c r="AP39" s="72" t="n"/>
      <c r="AQ39" s="72" t="n"/>
      <c r="AR39" s="72" t="n"/>
      <c r="AS39" s="72" t="n"/>
      <c r="AT39" s="72" t="n"/>
      <c r="AU39" s="72" t="n"/>
      <c r="AV39" s="72" t="n"/>
      <c r="AW39" s="42" t="n"/>
      <c r="AX39" s="72" t="n"/>
      <c r="AY39" s="72" t="n"/>
      <c r="AZ39" s="72" t="n"/>
      <c r="BA39" s="72" t="n"/>
      <c r="BB39" s="72" t="n"/>
      <c r="BC39" s="72" t="n"/>
      <c r="BD39" s="72" t="n"/>
    </row>
    <row r="40" ht="22" customHeight="1">
      <c r="B40" s="68" t="inlineStr">
        <is>
          <t>Лиды из Авито</t>
        </is>
      </c>
      <c r="C40" s="69" t="n"/>
      <c r="D40" s="69">
        <f>SUM(SUM(J40:P40)+SUM(R40:X40)+SUM(Z40:AF40)+SUM(AH40:AN40)+SUM(AP40:AV40)+SUM(AX40:BD40))</f>
        <v/>
      </c>
      <c r="E40" s="70">
        <f>IFERROR(D40/C40,"")</f>
        <v/>
      </c>
      <c r="F40" s="69">
        <f>IFERROR(D40/IF(DAY(TODAY())=0,1,DAY(TODAY()))*G3,"")</f>
        <v/>
      </c>
      <c r="G40" s="70">
        <f>IFERROR(F40/C40,"")</f>
        <v/>
      </c>
      <c r="I40" s="42" t="n"/>
      <c r="J40" s="69" t="n"/>
      <c r="K40" s="69" t="n"/>
      <c r="L40" s="69" t="n"/>
      <c r="M40" s="69" t="n"/>
      <c r="N40" s="69" t="n"/>
      <c r="O40" s="69" t="n"/>
      <c r="P40" s="69" t="n"/>
      <c r="Q40" s="42" t="n"/>
      <c r="R40" s="69" t="n"/>
      <c r="S40" s="69" t="n"/>
      <c r="T40" s="69" t="n"/>
      <c r="U40" s="69" t="n"/>
      <c r="V40" s="69" t="n"/>
      <c r="W40" s="69" t="n"/>
      <c r="X40" s="69" t="n"/>
      <c r="Y40" s="42" t="n"/>
      <c r="Z40" s="69" t="n"/>
      <c r="AA40" s="69" t="n"/>
      <c r="AB40" s="69" t="n"/>
      <c r="AC40" s="69" t="n"/>
      <c r="AD40" s="69" t="n"/>
      <c r="AE40" s="69" t="n"/>
      <c r="AF40" s="69" t="n"/>
      <c r="AG40" s="42" t="n"/>
      <c r="AH40" s="69" t="n"/>
      <c r="AI40" s="69" t="n"/>
      <c r="AJ40" s="69" t="n"/>
      <c r="AK40" s="69" t="n"/>
      <c r="AL40" s="69" t="n"/>
      <c r="AM40" s="69" t="n"/>
      <c r="AN40" s="69" t="n"/>
      <c r="AO40" s="42" t="n"/>
      <c r="AP40" s="69" t="n"/>
      <c r="AQ40" s="69" t="n"/>
      <c r="AR40" s="69" t="n"/>
      <c r="AS40" s="69" t="n"/>
      <c r="AT40" s="69" t="n"/>
      <c r="AU40" s="69" t="n"/>
      <c r="AV40" s="69" t="n"/>
      <c r="AW40" s="42" t="n"/>
      <c r="AX40" s="69" t="n"/>
      <c r="AY40" s="69" t="n"/>
      <c r="AZ40" s="69" t="n"/>
      <c r="BA40" s="69" t="n"/>
      <c r="BB40" s="69" t="n"/>
      <c r="BC40" s="69" t="n"/>
      <c r="BD40" s="69" t="n"/>
    </row>
    <row r="41" ht="22" customHeight="1">
      <c r="B41" s="71" t="inlineStr">
        <is>
          <t>Лиды по рекомендации</t>
        </is>
      </c>
      <c r="C41" s="72" t="n"/>
      <c r="D41" s="72">
        <f>SUM(SUM(J41:P41)+SUM(R41:X41)+SUM(Z41:AF41)+SUM(AH41:AN41)+SUM(AP41:AV41)+SUM(AX41:BD41))</f>
        <v/>
      </c>
      <c r="E41" s="73">
        <f>IFERROR(D41/C41,"")</f>
        <v/>
      </c>
      <c r="F41" s="72">
        <f>IFERROR(D41/IF(DAY(TODAY())=0,1,DAY(TODAY()))*G3,"")</f>
        <v/>
      </c>
      <c r="G41" s="73">
        <f>IFERROR(F41/C41,"")</f>
        <v/>
      </c>
      <c r="I41" s="42" t="n"/>
      <c r="J41" s="72" t="n"/>
      <c r="K41" s="72" t="n"/>
      <c r="L41" s="72" t="n"/>
      <c r="M41" s="72" t="n"/>
      <c r="N41" s="72" t="n"/>
      <c r="O41" s="72" t="n"/>
      <c r="P41" s="72" t="n"/>
      <c r="Q41" s="42" t="n"/>
      <c r="R41" s="72" t="n"/>
      <c r="S41" s="72" t="n"/>
      <c r="T41" s="72" t="n"/>
      <c r="U41" s="72" t="n"/>
      <c r="V41" s="72" t="n"/>
      <c r="W41" s="72" t="n"/>
      <c r="X41" s="72" t="n"/>
      <c r="Y41" s="42" t="n"/>
      <c r="Z41" s="72" t="n"/>
      <c r="AA41" s="72" t="n"/>
      <c r="AB41" s="72" t="n"/>
      <c r="AC41" s="72" t="n"/>
      <c r="AD41" s="72" t="n"/>
      <c r="AE41" s="72" t="n"/>
      <c r="AF41" s="72" t="n"/>
      <c r="AG41" s="42" t="n"/>
      <c r="AH41" s="72" t="n"/>
      <c r="AI41" s="72" t="n"/>
      <c r="AJ41" s="72" t="n"/>
      <c r="AK41" s="72" t="n"/>
      <c r="AL41" s="72" t="n"/>
      <c r="AM41" s="72" t="n"/>
      <c r="AN41" s="72" t="n"/>
      <c r="AO41" s="42" t="n"/>
      <c r="AP41" s="72" t="n"/>
      <c r="AQ41" s="72" t="n"/>
      <c r="AR41" s="72" t="n"/>
      <c r="AS41" s="72" t="n"/>
      <c r="AT41" s="72" t="n"/>
      <c r="AU41" s="72" t="n"/>
      <c r="AV41" s="72" t="n"/>
      <c r="AW41" s="42" t="n"/>
      <c r="AX41" s="72" t="n"/>
      <c r="AY41" s="72" t="n"/>
      <c r="AZ41" s="72" t="n"/>
      <c r="BA41" s="72" t="n"/>
      <c r="BB41" s="72" t="n"/>
      <c r="BC41" s="72" t="n"/>
      <c r="BD41" s="72" t="n"/>
    </row>
    <row r="42" ht="22" customHeight="1">
      <c r="B42" s="68" t="inlineStr">
        <is>
          <t>Лиды — другой канал</t>
        </is>
      </c>
      <c r="C42" s="69" t="n"/>
      <c r="D42" s="69">
        <f>SUM(SUM(J42:P42)+SUM(R42:X42)+SUM(Z42:AF42)+SUM(AH42:AN42)+SUM(AP42:AV42)+SUM(AX42:BD42))</f>
        <v/>
      </c>
      <c r="E42" s="70">
        <f>IFERROR(D42/C42,"")</f>
        <v/>
      </c>
      <c r="F42" s="69">
        <f>IFERROR(D42/IF(DAY(TODAY())=0,1,DAY(TODAY()))*G3,"")</f>
        <v/>
      </c>
      <c r="G42" s="70">
        <f>IFERROR(F42/C42,"")</f>
        <v/>
      </c>
      <c r="I42" s="42" t="n"/>
      <c r="J42" s="69" t="n"/>
      <c r="K42" s="69" t="n"/>
      <c r="L42" s="69" t="n"/>
      <c r="M42" s="69" t="n"/>
      <c r="N42" s="69" t="n"/>
      <c r="O42" s="69" t="n"/>
      <c r="P42" s="69" t="n"/>
      <c r="Q42" s="42" t="n"/>
      <c r="R42" s="69" t="n"/>
      <c r="S42" s="69" t="n"/>
      <c r="T42" s="69" t="n"/>
      <c r="U42" s="69" t="n"/>
      <c r="V42" s="69" t="n"/>
      <c r="W42" s="69" t="n"/>
      <c r="X42" s="69" t="n"/>
      <c r="Y42" s="42" t="n"/>
      <c r="Z42" s="69" t="n"/>
      <c r="AA42" s="69" t="n"/>
      <c r="AB42" s="69" t="n"/>
      <c r="AC42" s="69" t="n"/>
      <c r="AD42" s="69" t="n"/>
      <c r="AE42" s="69" t="n"/>
      <c r="AF42" s="69" t="n"/>
      <c r="AG42" s="42" t="n"/>
      <c r="AH42" s="69" t="n"/>
      <c r="AI42" s="69" t="n"/>
      <c r="AJ42" s="69" t="n"/>
      <c r="AK42" s="69" t="n"/>
      <c r="AL42" s="69" t="n"/>
      <c r="AM42" s="69" t="n"/>
      <c r="AN42" s="69" t="n"/>
      <c r="AO42" s="42" t="n"/>
      <c r="AP42" s="69" t="n"/>
      <c r="AQ42" s="69" t="n"/>
      <c r="AR42" s="69" t="n"/>
      <c r="AS42" s="69" t="n"/>
      <c r="AT42" s="69" t="n"/>
      <c r="AU42" s="69" t="n"/>
      <c r="AV42" s="69" t="n"/>
      <c r="AW42" s="42" t="n"/>
      <c r="AX42" s="69" t="n"/>
      <c r="AY42" s="69" t="n"/>
      <c r="AZ42" s="69" t="n"/>
      <c r="BA42" s="69" t="n"/>
      <c r="BB42" s="69" t="n"/>
      <c r="BC42" s="69" t="n"/>
      <c r="BD42" s="69" t="n"/>
    </row>
    <row r="43" ht="6" customHeight="1"/>
  </sheetData>
  <mergeCells count="15">
    <mergeCell ref="B37:BJ37"/>
    <mergeCell ref="B2:G2"/>
    <mergeCell ref="Z5:AF5"/>
    <mergeCell ref="J5:P5"/>
    <mergeCell ref="AP5:AV5"/>
    <mergeCell ref="I2:N2"/>
    <mergeCell ref="B3:C3"/>
    <mergeCell ref="R5:X5"/>
    <mergeCell ref="AH5:AN5"/>
    <mergeCell ref="B13:BJ13"/>
    <mergeCell ref="B21:BJ21"/>
    <mergeCell ref="D3:E3"/>
    <mergeCell ref="B7:BJ7"/>
    <mergeCell ref="B29:BJ29"/>
    <mergeCell ref="AX5:BD5"/>
  </mergeCells>
  <conditionalFormatting sqref="E8">
    <cfRule type="cellIs" priority="1" operator="greaterThanOrEqual" dxfId="0">
      <formula>1.0</formula>
    </cfRule>
    <cfRule type="cellIs" priority="2" operator="lessThan" dxfId="1">
      <formula>1.0</formula>
    </cfRule>
    <cfRule type="cellIs" priority="57" operator="greaterThanOrEqual" dxfId="0">
      <formula>1</formula>
    </cfRule>
    <cfRule type="cellIs" priority="58" operator="lessThan" dxfId="1">
      <formula>1</formula>
    </cfRule>
  </conditionalFormatting>
  <conditionalFormatting sqref="E9">
    <cfRule type="cellIs" priority="3" operator="greaterThanOrEqual" dxfId="0">
      <formula>1.0</formula>
    </cfRule>
    <cfRule type="cellIs" priority="4" operator="lessThan" dxfId="1">
      <formula>1.0</formula>
    </cfRule>
    <cfRule type="cellIs" priority="61" operator="greaterThanOrEqual" dxfId="0">
      <formula>1</formula>
    </cfRule>
    <cfRule type="cellIs" priority="62" operator="lessThan" dxfId="1">
      <formula>1</formula>
    </cfRule>
  </conditionalFormatting>
  <conditionalFormatting sqref="E10">
    <cfRule type="cellIs" priority="5" operator="greaterThanOrEqual" dxfId="0">
      <formula>1.0</formula>
    </cfRule>
    <cfRule type="cellIs" priority="6" operator="lessThan" dxfId="1">
      <formula>1.0</formula>
    </cfRule>
    <cfRule type="cellIs" priority="65" operator="greaterThanOrEqual" dxfId="0">
      <formula>1</formula>
    </cfRule>
    <cfRule type="cellIs" priority="66" operator="lessThan" dxfId="1">
      <formula>1</formula>
    </cfRule>
  </conditionalFormatting>
  <conditionalFormatting sqref="E11">
    <cfRule type="cellIs" priority="7" operator="greaterThanOrEqual" dxfId="0">
      <formula>1.0</formula>
    </cfRule>
    <cfRule type="cellIs" priority="8" operator="lessThan" dxfId="1">
      <formula>1.0</formula>
    </cfRule>
    <cfRule type="cellIs" priority="69" operator="greaterThanOrEqual" dxfId="0">
      <formula>1</formula>
    </cfRule>
    <cfRule type="cellIs" priority="70" operator="lessThan" dxfId="1">
      <formula>1</formula>
    </cfRule>
  </conditionalFormatting>
  <conditionalFormatting sqref="E14">
    <cfRule type="cellIs" priority="9" operator="greaterThanOrEqual" dxfId="0">
      <formula>1.0</formula>
    </cfRule>
    <cfRule type="cellIs" priority="10" operator="lessThan" dxfId="1">
      <formula>1.0</formula>
    </cfRule>
    <cfRule type="cellIs" priority="73" operator="greaterThanOrEqual" dxfId="0">
      <formula>1</formula>
    </cfRule>
    <cfRule type="cellIs" priority="74" operator="lessThan" dxfId="1">
      <formula>1</formula>
    </cfRule>
  </conditionalFormatting>
  <conditionalFormatting sqref="E15">
    <cfRule type="cellIs" priority="11" operator="greaterThanOrEqual" dxfId="0">
      <formula>1.0</formula>
    </cfRule>
    <cfRule type="cellIs" priority="12" operator="lessThan" dxfId="1">
      <formula>1.0</formula>
    </cfRule>
    <cfRule type="cellIs" priority="77" operator="greaterThanOrEqual" dxfId="0">
      <formula>1</formula>
    </cfRule>
    <cfRule type="cellIs" priority="78" operator="lessThan" dxfId="1">
      <formula>1</formula>
    </cfRule>
  </conditionalFormatting>
  <conditionalFormatting sqref="E16">
    <cfRule type="cellIs" priority="13" operator="greaterThanOrEqual" dxfId="0">
      <formula>1.0</formula>
    </cfRule>
    <cfRule type="cellIs" priority="14" operator="lessThan" dxfId="1">
      <formula>1.0</formula>
    </cfRule>
    <cfRule type="cellIs" priority="81" operator="greaterThanOrEqual" dxfId="0">
      <formula>1</formula>
    </cfRule>
    <cfRule type="cellIs" priority="82" operator="lessThan" dxfId="1">
      <formula>1</formula>
    </cfRule>
  </conditionalFormatting>
  <conditionalFormatting sqref="E17">
    <cfRule type="cellIs" priority="15" operator="greaterThanOrEqual" dxfId="0">
      <formula>1.0</formula>
    </cfRule>
    <cfRule type="cellIs" priority="16" operator="lessThan" dxfId="1">
      <formula>1.0</formula>
    </cfRule>
    <cfRule type="cellIs" priority="85" operator="greaterThanOrEqual" dxfId="0">
      <formula>1</formula>
    </cfRule>
    <cfRule type="cellIs" priority="86" operator="lessThan" dxfId="1">
      <formula>1</formula>
    </cfRule>
  </conditionalFormatting>
  <conditionalFormatting sqref="E18">
    <cfRule type="cellIs" priority="17" operator="greaterThanOrEqual" dxfId="0">
      <formula>1.0</formula>
    </cfRule>
    <cfRule type="cellIs" priority="18" operator="lessThan" dxfId="1">
      <formula>1.0</formula>
    </cfRule>
    <cfRule type="cellIs" priority="89" operator="greaterThanOrEqual" dxfId="0">
      <formula>1</formula>
    </cfRule>
    <cfRule type="cellIs" priority="90" operator="lessThan" dxfId="1">
      <formula>1</formula>
    </cfRule>
  </conditionalFormatting>
  <conditionalFormatting sqref="E19">
    <cfRule type="cellIs" priority="19" operator="greaterThanOrEqual" dxfId="0">
      <formula>1.0</formula>
    </cfRule>
    <cfRule type="cellIs" priority="20" operator="lessThan" dxfId="1">
      <formula>1.0</formula>
    </cfRule>
    <cfRule type="cellIs" priority="93" operator="greaterThanOrEqual" dxfId="0">
      <formula>1</formula>
    </cfRule>
    <cfRule type="cellIs" priority="94" operator="lessThan" dxfId="1">
      <formula>1</formula>
    </cfRule>
  </conditionalFormatting>
  <conditionalFormatting sqref="E22">
    <cfRule type="cellIs" priority="21" operator="greaterThanOrEqual" dxfId="0">
      <formula>1.0</formula>
    </cfRule>
    <cfRule type="cellIs" priority="22" operator="lessThan" dxfId="1">
      <formula>1.0</formula>
    </cfRule>
    <cfRule type="cellIs" priority="97" operator="greaterThanOrEqual" dxfId="0">
      <formula>1</formula>
    </cfRule>
    <cfRule type="cellIs" priority="98" operator="lessThan" dxfId="1">
      <formula>1</formula>
    </cfRule>
  </conditionalFormatting>
  <conditionalFormatting sqref="E23">
    <cfRule type="cellIs" priority="23" operator="greaterThanOrEqual" dxfId="0">
      <formula>1.0</formula>
    </cfRule>
    <cfRule type="cellIs" priority="24" operator="lessThan" dxfId="1">
      <formula>1.0</formula>
    </cfRule>
    <cfRule type="cellIs" priority="101" operator="greaterThanOrEqual" dxfId="0">
      <formula>1</formula>
    </cfRule>
    <cfRule type="cellIs" priority="102" operator="lessThan" dxfId="1">
      <formula>1</formula>
    </cfRule>
  </conditionalFormatting>
  <conditionalFormatting sqref="E24">
    <cfRule type="cellIs" priority="25" operator="greaterThanOrEqual" dxfId="0">
      <formula>1.0</formula>
    </cfRule>
    <cfRule type="cellIs" priority="26" operator="lessThan" dxfId="1">
      <formula>1.0</formula>
    </cfRule>
    <cfRule type="cellIs" priority="105" operator="greaterThanOrEqual" dxfId="0">
      <formula>1</formula>
    </cfRule>
    <cfRule type="cellIs" priority="106" operator="lessThan" dxfId="1">
      <formula>1</formula>
    </cfRule>
  </conditionalFormatting>
  <conditionalFormatting sqref="E25">
    <cfRule type="cellIs" priority="27" operator="greaterThanOrEqual" dxfId="0">
      <formula>1.0</formula>
    </cfRule>
    <cfRule type="cellIs" priority="28" operator="lessThan" dxfId="1">
      <formula>1.0</formula>
    </cfRule>
    <cfRule type="cellIs" priority="109" operator="greaterThanOrEqual" dxfId="0">
      <formula>1</formula>
    </cfRule>
    <cfRule type="cellIs" priority="110" operator="lessThan" dxfId="1">
      <formula>1</formula>
    </cfRule>
  </conditionalFormatting>
  <conditionalFormatting sqref="E26">
    <cfRule type="cellIs" priority="29" operator="greaterThanOrEqual" dxfId="0">
      <formula>1.0</formula>
    </cfRule>
    <cfRule type="cellIs" priority="30" operator="lessThan" dxfId="1">
      <formula>1.0</formula>
    </cfRule>
    <cfRule type="cellIs" priority="113" operator="greaterThanOrEqual" dxfId="0">
      <formula>1</formula>
    </cfRule>
    <cfRule type="cellIs" priority="114" operator="lessThan" dxfId="1">
      <formula>1</formula>
    </cfRule>
  </conditionalFormatting>
  <conditionalFormatting sqref="E27">
    <cfRule type="cellIs" priority="31" operator="greaterThanOrEqual" dxfId="0">
      <formula>1.0</formula>
    </cfRule>
    <cfRule type="cellIs" priority="32" operator="lessThan" dxfId="1">
      <formula>1.0</formula>
    </cfRule>
    <cfRule type="cellIs" priority="117" operator="greaterThanOrEqual" dxfId="0">
      <formula>1</formula>
    </cfRule>
    <cfRule type="cellIs" priority="118" operator="lessThan" dxfId="1">
      <formula>1</formula>
    </cfRule>
  </conditionalFormatting>
  <conditionalFormatting sqref="E30">
    <cfRule type="cellIs" priority="33" operator="greaterThanOrEqual" dxfId="0">
      <formula>1.0</formula>
    </cfRule>
    <cfRule type="cellIs" priority="34" operator="lessThan" dxfId="1">
      <formula>1.0</formula>
    </cfRule>
    <cfRule type="cellIs" priority="121" operator="greaterThanOrEqual" dxfId="0">
      <formula>1</formula>
    </cfRule>
    <cfRule type="cellIs" priority="122" operator="lessThan" dxfId="1">
      <formula>1</formula>
    </cfRule>
  </conditionalFormatting>
  <conditionalFormatting sqref="E31">
    <cfRule type="cellIs" priority="35" operator="greaterThanOrEqual" dxfId="0">
      <formula>1.0</formula>
    </cfRule>
    <cfRule type="cellIs" priority="36" operator="lessThan" dxfId="1">
      <formula>1.0</formula>
    </cfRule>
    <cfRule type="cellIs" priority="125" operator="greaterThanOrEqual" dxfId="0">
      <formula>1</formula>
    </cfRule>
    <cfRule type="cellIs" priority="126" operator="lessThan" dxfId="1">
      <formula>1</formula>
    </cfRule>
  </conditionalFormatting>
  <conditionalFormatting sqref="E32">
    <cfRule type="cellIs" priority="37" operator="greaterThanOrEqual" dxfId="0">
      <formula>1.0</formula>
    </cfRule>
    <cfRule type="cellIs" priority="38" operator="lessThan" dxfId="1">
      <formula>1.0</formula>
    </cfRule>
    <cfRule type="cellIs" priority="129" operator="greaterThanOrEqual" dxfId="0">
      <formula>1</formula>
    </cfRule>
    <cfRule type="cellIs" priority="130" operator="lessThan" dxfId="1">
      <formula>1</formula>
    </cfRule>
  </conditionalFormatting>
  <conditionalFormatting sqref="E33">
    <cfRule type="cellIs" priority="39" operator="greaterThanOrEqual" dxfId="0">
      <formula>1.0</formula>
    </cfRule>
    <cfRule type="cellIs" priority="40" operator="lessThan" dxfId="1">
      <formula>1.0</formula>
    </cfRule>
    <cfRule type="cellIs" priority="133" operator="greaterThanOrEqual" dxfId="0">
      <formula>1</formula>
    </cfRule>
    <cfRule type="cellIs" priority="134" operator="lessThan" dxfId="1">
      <formula>1</formula>
    </cfRule>
  </conditionalFormatting>
  <conditionalFormatting sqref="E34">
    <cfRule type="cellIs" priority="41" operator="greaterThanOrEqual" dxfId="0">
      <formula>1.0</formula>
    </cfRule>
    <cfRule type="cellIs" priority="42" operator="lessThan" dxfId="1">
      <formula>1.0</formula>
    </cfRule>
    <cfRule type="cellIs" priority="137" operator="greaterThanOrEqual" dxfId="0">
      <formula>1</formula>
    </cfRule>
    <cfRule type="cellIs" priority="138" operator="lessThan" dxfId="1">
      <formula>1</formula>
    </cfRule>
  </conditionalFormatting>
  <conditionalFormatting sqref="E35">
    <cfRule type="cellIs" priority="43" operator="greaterThanOrEqual" dxfId="0">
      <formula>1.0</formula>
    </cfRule>
    <cfRule type="cellIs" priority="44" operator="lessThan" dxfId="1">
      <formula>1.0</formula>
    </cfRule>
    <cfRule type="cellIs" priority="141" operator="greaterThanOrEqual" dxfId="0">
      <formula>1</formula>
    </cfRule>
    <cfRule type="cellIs" priority="142" operator="lessThan" dxfId="1">
      <formula>1</formula>
    </cfRule>
  </conditionalFormatting>
  <conditionalFormatting sqref="E38">
    <cfRule type="cellIs" priority="45" operator="greaterThanOrEqual" dxfId="0">
      <formula>1.0</formula>
    </cfRule>
    <cfRule type="cellIs" priority="46" operator="lessThan" dxfId="1">
      <formula>1.0</formula>
    </cfRule>
    <cfRule type="cellIs" priority="145" operator="greaterThanOrEqual" dxfId="0">
      <formula>1</formula>
    </cfRule>
    <cfRule type="cellIs" priority="146" operator="lessThan" dxfId="1">
      <formula>1</formula>
    </cfRule>
  </conditionalFormatting>
  <conditionalFormatting sqref="E39">
    <cfRule type="cellIs" priority="47" operator="greaterThanOrEqual" dxfId="0">
      <formula>1.0</formula>
    </cfRule>
    <cfRule type="cellIs" priority="48" operator="lessThan" dxfId="1">
      <formula>1.0</formula>
    </cfRule>
    <cfRule type="cellIs" priority="149" operator="greaterThanOrEqual" dxfId="0">
      <formula>1</formula>
    </cfRule>
    <cfRule type="cellIs" priority="150" operator="lessThan" dxfId="1">
      <formula>1</formula>
    </cfRule>
  </conditionalFormatting>
  <conditionalFormatting sqref="E40">
    <cfRule type="cellIs" priority="49" operator="greaterThanOrEqual" dxfId="0">
      <formula>1.0</formula>
    </cfRule>
    <cfRule type="cellIs" priority="50" operator="lessThan" dxfId="1">
      <formula>1.0</formula>
    </cfRule>
    <cfRule type="cellIs" priority="153" operator="greaterThanOrEqual" dxfId="0">
      <formula>1</formula>
    </cfRule>
    <cfRule type="cellIs" priority="154" operator="lessThan" dxfId="1">
      <formula>1</formula>
    </cfRule>
  </conditionalFormatting>
  <conditionalFormatting sqref="E41">
    <cfRule type="cellIs" priority="51" operator="greaterThanOrEqual" dxfId="0">
      <formula>1.0</formula>
    </cfRule>
    <cfRule type="cellIs" priority="52" operator="lessThan" dxfId="1">
      <formula>1.0</formula>
    </cfRule>
    <cfRule type="cellIs" priority="157" operator="greaterThanOrEqual" dxfId="0">
      <formula>1</formula>
    </cfRule>
    <cfRule type="cellIs" priority="158" operator="lessThan" dxfId="1">
      <formula>1</formula>
    </cfRule>
  </conditionalFormatting>
  <conditionalFormatting sqref="E42">
    <cfRule type="cellIs" priority="53" operator="greaterThanOrEqual" dxfId="0">
      <formula>1.0</formula>
    </cfRule>
    <cfRule type="cellIs" priority="54" operator="lessThan" dxfId="1">
      <formula>1.0</formula>
    </cfRule>
    <cfRule type="cellIs" priority="161" operator="greaterThanOrEqual" dxfId="0">
      <formula>1</formula>
    </cfRule>
    <cfRule type="cellIs" priority="162" operator="lessThan" dxfId="1">
      <formula>1</formula>
    </cfRule>
  </conditionalFormatting>
  <conditionalFormatting sqref="G8">
    <cfRule type="cellIs" priority="55" operator="greaterThanOrEqual" dxfId="0">
      <formula>1</formula>
    </cfRule>
    <cfRule type="cellIs" priority="56" operator="lessThan" dxfId="1">
      <formula>1</formula>
    </cfRule>
  </conditionalFormatting>
  <conditionalFormatting sqref="G9">
    <cfRule type="cellIs" priority="59" operator="greaterThanOrEqual" dxfId="0">
      <formula>1</formula>
    </cfRule>
    <cfRule type="cellIs" priority="60" operator="lessThan" dxfId="1">
      <formula>1</formula>
    </cfRule>
  </conditionalFormatting>
  <conditionalFormatting sqref="G10">
    <cfRule type="cellIs" priority="63" operator="greaterThanOrEqual" dxfId="0">
      <formula>1</formula>
    </cfRule>
    <cfRule type="cellIs" priority="64" operator="lessThan" dxfId="1">
      <formula>1</formula>
    </cfRule>
  </conditionalFormatting>
  <conditionalFormatting sqref="G11">
    <cfRule type="cellIs" priority="67" operator="greaterThanOrEqual" dxfId="0">
      <formula>1</formula>
    </cfRule>
    <cfRule type="cellIs" priority="68" operator="lessThan" dxfId="1">
      <formula>1</formula>
    </cfRule>
  </conditionalFormatting>
  <conditionalFormatting sqref="G14">
    <cfRule type="cellIs" priority="71" operator="greaterThanOrEqual" dxfId="0">
      <formula>1</formula>
    </cfRule>
    <cfRule type="cellIs" priority="72" operator="lessThan" dxfId="1">
      <formula>1</formula>
    </cfRule>
  </conditionalFormatting>
  <conditionalFormatting sqref="G15">
    <cfRule type="cellIs" priority="75" operator="greaterThanOrEqual" dxfId="0">
      <formula>1</formula>
    </cfRule>
    <cfRule type="cellIs" priority="76" operator="lessThan" dxfId="1">
      <formula>1</formula>
    </cfRule>
  </conditionalFormatting>
  <conditionalFormatting sqref="G16">
    <cfRule type="cellIs" priority="79" operator="greaterThanOrEqual" dxfId="0">
      <formula>1</formula>
    </cfRule>
    <cfRule type="cellIs" priority="80" operator="lessThan" dxfId="1">
      <formula>1</formula>
    </cfRule>
  </conditionalFormatting>
  <conditionalFormatting sqref="G17">
    <cfRule type="cellIs" priority="83" operator="greaterThanOrEqual" dxfId="0">
      <formula>1</formula>
    </cfRule>
    <cfRule type="cellIs" priority="84" operator="lessThan" dxfId="1">
      <formula>1</formula>
    </cfRule>
  </conditionalFormatting>
  <conditionalFormatting sqref="G18">
    <cfRule type="cellIs" priority="87" operator="greaterThanOrEqual" dxfId="0">
      <formula>1</formula>
    </cfRule>
    <cfRule type="cellIs" priority="88" operator="lessThan" dxfId="1">
      <formula>1</formula>
    </cfRule>
  </conditionalFormatting>
  <conditionalFormatting sqref="G19">
    <cfRule type="cellIs" priority="91" operator="greaterThanOrEqual" dxfId="0">
      <formula>1</formula>
    </cfRule>
    <cfRule type="cellIs" priority="92" operator="lessThan" dxfId="1">
      <formula>1</formula>
    </cfRule>
  </conditionalFormatting>
  <conditionalFormatting sqref="G22">
    <cfRule type="cellIs" priority="95" operator="greaterThanOrEqual" dxfId="0">
      <formula>1</formula>
    </cfRule>
    <cfRule type="cellIs" priority="96" operator="lessThan" dxfId="1">
      <formula>1</formula>
    </cfRule>
  </conditionalFormatting>
  <conditionalFormatting sqref="G23">
    <cfRule type="cellIs" priority="99" operator="greaterThanOrEqual" dxfId="0">
      <formula>1</formula>
    </cfRule>
    <cfRule type="cellIs" priority="100" operator="lessThan" dxfId="1">
      <formula>1</formula>
    </cfRule>
  </conditionalFormatting>
  <conditionalFormatting sqref="G24">
    <cfRule type="cellIs" priority="103" operator="greaterThanOrEqual" dxfId="0">
      <formula>1</formula>
    </cfRule>
    <cfRule type="cellIs" priority="104" operator="lessThan" dxfId="1">
      <formula>1</formula>
    </cfRule>
  </conditionalFormatting>
  <conditionalFormatting sqref="G25">
    <cfRule type="cellIs" priority="107" operator="greaterThanOrEqual" dxfId="0">
      <formula>1</formula>
    </cfRule>
    <cfRule type="cellIs" priority="108" operator="lessThan" dxfId="1">
      <formula>1</formula>
    </cfRule>
  </conditionalFormatting>
  <conditionalFormatting sqref="G26">
    <cfRule type="cellIs" priority="111" operator="greaterThanOrEqual" dxfId="0">
      <formula>1</formula>
    </cfRule>
    <cfRule type="cellIs" priority="112" operator="lessThan" dxfId="1">
      <formula>1</formula>
    </cfRule>
  </conditionalFormatting>
  <conditionalFormatting sqref="G27">
    <cfRule type="cellIs" priority="115" operator="greaterThanOrEqual" dxfId="0">
      <formula>1</formula>
    </cfRule>
    <cfRule type="cellIs" priority="116" operator="lessThan" dxfId="1">
      <formula>1</formula>
    </cfRule>
  </conditionalFormatting>
  <conditionalFormatting sqref="G30">
    <cfRule type="cellIs" priority="119" operator="greaterThanOrEqual" dxfId="0">
      <formula>1</formula>
    </cfRule>
    <cfRule type="cellIs" priority="120" operator="lessThan" dxfId="1">
      <formula>1</formula>
    </cfRule>
  </conditionalFormatting>
  <conditionalFormatting sqref="G31">
    <cfRule type="cellIs" priority="123" operator="greaterThanOrEqual" dxfId="0">
      <formula>1</formula>
    </cfRule>
    <cfRule type="cellIs" priority="124" operator="lessThan" dxfId="1">
      <formula>1</formula>
    </cfRule>
  </conditionalFormatting>
  <conditionalFormatting sqref="G32">
    <cfRule type="cellIs" priority="127" operator="greaterThanOrEqual" dxfId="0">
      <formula>1</formula>
    </cfRule>
    <cfRule type="cellIs" priority="128" operator="lessThan" dxfId="1">
      <formula>1</formula>
    </cfRule>
  </conditionalFormatting>
  <conditionalFormatting sqref="G33">
    <cfRule type="cellIs" priority="131" operator="greaterThanOrEqual" dxfId="0">
      <formula>1</formula>
    </cfRule>
    <cfRule type="cellIs" priority="132" operator="lessThan" dxfId="1">
      <formula>1</formula>
    </cfRule>
  </conditionalFormatting>
  <conditionalFormatting sqref="G34">
    <cfRule type="cellIs" priority="135" operator="greaterThanOrEqual" dxfId="0">
      <formula>1</formula>
    </cfRule>
    <cfRule type="cellIs" priority="136" operator="lessThan" dxfId="1">
      <formula>1</formula>
    </cfRule>
  </conditionalFormatting>
  <conditionalFormatting sqref="G35">
    <cfRule type="cellIs" priority="139" operator="greaterThanOrEqual" dxfId="0">
      <formula>1</formula>
    </cfRule>
    <cfRule type="cellIs" priority="140" operator="lessThan" dxfId="1">
      <formula>1</formula>
    </cfRule>
  </conditionalFormatting>
  <conditionalFormatting sqref="G38">
    <cfRule type="cellIs" priority="143" operator="greaterThanOrEqual" dxfId="0">
      <formula>1</formula>
    </cfRule>
    <cfRule type="cellIs" priority="144" operator="lessThan" dxfId="1">
      <formula>1</formula>
    </cfRule>
  </conditionalFormatting>
  <conditionalFormatting sqref="G39">
    <cfRule type="cellIs" priority="147" operator="greaterThanOrEqual" dxfId="0">
      <formula>1</formula>
    </cfRule>
    <cfRule type="cellIs" priority="148" operator="lessThan" dxfId="1">
      <formula>1</formula>
    </cfRule>
  </conditionalFormatting>
  <conditionalFormatting sqref="G40">
    <cfRule type="cellIs" priority="151" operator="greaterThanOrEqual" dxfId="0">
      <formula>1</formula>
    </cfRule>
    <cfRule type="cellIs" priority="152" operator="lessThan" dxfId="1">
      <formula>1</formula>
    </cfRule>
  </conditionalFormatting>
  <conditionalFormatting sqref="G41">
    <cfRule type="cellIs" priority="155" operator="greaterThanOrEqual" dxfId="0">
      <formula>1</formula>
    </cfRule>
    <cfRule type="cellIs" priority="156" operator="lessThan" dxfId="1">
      <formula>1</formula>
    </cfRule>
  </conditionalFormatting>
  <conditionalFormatting sqref="G42">
    <cfRule type="cellIs" priority="159" operator="greaterThanOrEqual" dxfId="0">
      <formula>1</formula>
    </cfRule>
    <cfRule type="cellIs" priority="160" operator="lessThan" dxfId="1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2" customWidth="1" min="8" max="8"/>
    <col width="2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2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2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2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2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2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</cols>
  <sheetData>
    <row r="1" ht="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</row>
    <row r="2" ht="26" customHeight="1">
      <c r="A2" s="2" t="n"/>
      <c r="B2" s="57" t="inlineStr">
        <is>
          <t>Продажи — детализация по менеджерам и дням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</row>
    <row r="3" ht="18" customHeight="1">
      <c r="A3" s="2" t="n"/>
      <c r="B3" s="2" t="n"/>
      <c r="C3" s="89" t="inlineStr">
        <is>
          <t>МЕС ПЛАН</t>
        </is>
      </c>
      <c r="D3" s="89" t="inlineStr">
        <is>
          <t>МЕС ФАКТ</t>
        </is>
      </c>
      <c r="E3" s="89" t="inlineStr">
        <is>
          <t>%</t>
        </is>
      </c>
      <c r="F3" s="89" t="inlineStr">
        <is>
          <t>ПРОГНОЗ</t>
        </is>
      </c>
      <c r="G3" s="89" t="inlineStr">
        <is>
          <t>%прог</t>
        </is>
      </c>
      <c r="H3" s="2" t="n"/>
      <c r="I3" s="2" t="n"/>
      <c r="J3" s="91" t="inlineStr">
        <is>
          <t>Неделя 1</t>
        </is>
      </c>
      <c r="Q3" s="2" t="n"/>
      <c r="R3" s="91" t="inlineStr">
        <is>
          <t>Неделя 2</t>
        </is>
      </c>
      <c r="Y3" s="2" t="n"/>
      <c r="Z3" s="91" t="inlineStr">
        <is>
          <t>Неделя 3</t>
        </is>
      </c>
      <c r="AG3" s="2" t="n"/>
      <c r="AH3" s="91" t="inlineStr">
        <is>
          <t>Неделя 4</t>
        </is>
      </c>
      <c r="AO3" s="2" t="n"/>
      <c r="AP3" s="91" t="inlineStr">
        <is>
          <t>Неделя 5</t>
        </is>
      </c>
      <c r="AW3" s="2" t="n"/>
      <c r="AX3" s="91" t="inlineStr">
        <is>
          <t>Неделя 6</t>
        </is>
      </c>
      <c r="BE3" s="2" t="n"/>
      <c r="BF3" s="2" t="n"/>
      <c r="BG3" s="2" t="n"/>
      <c r="BH3" s="2" t="n"/>
      <c r="BI3" s="2" t="n"/>
      <c r="BJ3" s="2" t="n"/>
    </row>
    <row r="4" ht="16" customHeight="1">
      <c r="B4" s="92" t="inlineStr">
        <is>
          <t>Метрика</t>
        </is>
      </c>
      <c r="C4" s="66" t="inlineStr">
        <is>
          <t>ПЛАН</t>
        </is>
      </c>
      <c r="D4" s="66" t="inlineStr">
        <is>
          <t>ФАКТ</t>
        </is>
      </c>
      <c r="E4" s="66" t="inlineStr">
        <is>
          <t>%</t>
        </is>
      </c>
      <c r="F4" s="66" t="inlineStr">
        <is>
          <t>ПРОГН</t>
        </is>
      </c>
      <c r="G4" s="66" t="inlineStr">
        <is>
          <t>%пр</t>
        </is>
      </c>
      <c r="I4" s="42" t="n"/>
      <c r="J4" s="66" t="inlineStr">
        <is>
          <t>ПН</t>
        </is>
      </c>
      <c r="K4" s="66" t="inlineStr">
        <is>
          <t>ВТ</t>
        </is>
      </c>
      <c r="L4" s="66" t="inlineStr">
        <is>
          <t>СР</t>
        </is>
      </c>
      <c r="M4" s="66" t="inlineStr">
        <is>
          <t>ЧТ</t>
        </is>
      </c>
      <c r="N4" s="66" t="inlineStr">
        <is>
          <t>ПТ</t>
        </is>
      </c>
      <c r="O4" s="66" t="inlineStr">
        <is>
          <t>СБ</t>
        </is>
      </c>
      <c r="P4" s="66" t="inlineStr">
        <is>
          <t>ВС</t>
        </is>
      </c>
      <c r="Q4" s="42" t="n"/>
      <c r="R4" s="66" t="inlineStr">
        <is>
          <t>ПН</t>
        </is>
      </c>
      <c r="S4" s="66" t="inlineStr">
        <is>
          <t>ВТ</t>
        </is>
      </c>
      <c r="T4" s="66" t="inlineStr">
        <is>
          <t>СР</t>
        </is>
      </c>
      <c r="U4" s="66" t="inlineStr">
        <is>
          <t>ЧТ</t>
        </is>
      </c>
      <c r="V4" s="66" t="inlineStr">
        <is>
          <t>ПТ</t>
        </is>
      </c>
      <c r="W4" s="66" t="inlineStr">
        <is>
          <t>СБ</t>
        </is>
      </c>
      <c r="X4" s="66" t="inlineStr">
        <is>
          <t>ВС</t>
        </is>
      </c>
      <c r="Y4" s="42" t="n"/>
      <c r="Z4" s="66" t="inlineStr">
        <is>
          <t>ПН</t>
        </is>
      </c>
      <c r="AA4" s="66" t="inlineStr">
        <is>
          <t>ВТ</t>
        </is>
      </c>
      <c r="AB4" s="66" t="inlineStr">
        <is>
          <t>СР</t>
        </is>
      </c>
      <c r="AC4" s="66" t="inlineStr">
        <is>
          <t>ЧТ</t>
        </is>
      </c>
      <c r="AD4" s="66" t="inlineStr">
        <is>
          <t>ПТ</t>
        </is>
      </c>
      <c r="AE4" s="66" t="inlineStr">
        <is>
          <t>СБ</t>
        </is>
      </c>
      <c r="AF4" s="66" t="inlineStr">
        <is>
          <t>ВС</t>
        </is>
      </c>
      <c r="AG4" s="42" t="n"/>
      <c r="AH4" s="66" t="inlineStr">
        <is>
          <t>ПН</t>
        </is>
      </c>
      <c r="AI4" s="66" t="inlineStr">
        <is>
          <t>ВТ</t>
        </is>
      </c>
      <c r="AJ4" s="66" t="inlineStr">
        <is>
          <t>СР</t>
        </is>
      </c>
      <c r="AK4" s="66" t="inlineStr">
        <is>
          <t>ЧТ</t>
        </is>
      </c>
      <c r="AL4" s="66" t="inlineStr">
        <is>
          <t>ПТ</t>
        </is>
      </c>
      <c r="AM4" s="66" t="inlineStr">
        <is>
          <t>СБ</t>
        </is>
      </c>
      <c r="AN4" s="66" t="inlineStr">
        <is>
          <t>ВС</t>
        </is>
      </c>
      <c r="AO4" s="42" t="n"/>
      <c r="AP4" s="66" t="inlineStr">
        <is>
          <t>ПН</t>
        </is>
      </c>
      <c r="AQ4" s="66" t="inlineStr">
        <is>
          <t>ВТ</t>
        </is>
      </c>
      <c r="AR4" s="66" t="inlineStr">
        <is>
          <t>СР</t>
        </is>
      </c>
      <c r="AS4" s="66" t="inlineStr">
        <is>
          <t>ЧТ</t>
        </is>
      </c>
      <c r="AT4" s="66" t="inlineStr">
        <is>
          <t>ПТ</t>
        </is>
      </c>
      <c r="AU4" s="66" t="inlineStr">
        <is>
          <t>СБ</t>
        </is>
      </c>
      <c r="AV4" s="66" t="inlineStr">
        <is>
          <t>ВС</t>
        </is>
      </c>
      <c r="AW4" s="42" t="n"/>
      <c r="AX4" s="66" t="inlineStr">
        <is>
          <t>ПН</t>
        </is>
      </c>
      <c r="AY4" s="66" t="inlineStr">
        <is>
          <t>ВТ</t>
        </is>
      </c>
      <c r="AZ4" s="66" t="inlineStr">
        <is>
          <t>СР</t>
        </is>
      </c>
      <c r="BA4" s="66" t="inlineStr">
        <is>
          <t>ЧТ</t>
        </is>
      </c>
      <c r="BB4" s="66" t="inlineStr">
        <is>
          <t>ПТ</t>
        </is>
      </c>
      <c r="BC4" s="66" t="inlineStr">
        <is>
          <t>СБ</t>
        </is>
      </c>
      <c r="BD4" s="66" t="inlineStr">
        <is>
          <t>ВС</t>
        </is>
      </c>
    </row>
    <row r="5" ht="20" customHeight="1">
      <c r="B5" s="90" t="inlineStr">
        <is>
          <t>ИТОГО — ВСЕ МЕНЕДЖЕРЫ</t>
        </is>
      </c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4" t="n"/>
    </row>
    <row r="6" ht="22" customHeight="1">
      <c r="B6" s="68" t="inlineStr">
        <is>
          <t>Новых лидов (шт.)</t>
        </is>
      </c>
      <c r="C6" s="69">
        <f>C16+C26+C36</f>
        <v/>
      </c>
      <c r="D6" s="69">
        <f>D16+D26+D36</f>
        <v/>
      </c>
      <c r="E6" s="70">
        <f>IFERROR(D6/C6,"")</f>
        <v/>
      </c>
      <c r="F6" s="69">
        <f>IFERROR(D6/IF(DAY(TODAY())=0,1,DAY(TODAY()))*G3,"")</f>
        <v/>
      </c>
      <c r="G6" s="70">
        <f>IFERROR(F6/C6,"")</f>
        <v/>
      </c>
      <c r="I6" s="42" t="n"/>
      <c r="J6" s="69" t="n"/>
      <c r="K6" s="69" t="n"/>
      <c r="L6" s="69" t="n"/>
      <c r="M6" s="69" t="n"/>
      <c r="N6" s="69" t="n"/>
      <c r="O6" s="69" t="n"/>
      <c r="P6" s="69" t="n"/>
      <c r="Q6" s="42" t="n"/>
      <c r="R6" s="69" t="n"/>
      <c r="S6" s="69" t="n"/>
      <c r="T6" s="69" t="n"/>
      <c r="U6" s="69" t="n"/>
      <c r="V6" s="69" t="n"/>
      <c r="W6" s="69" t="n"/>
      <c r="X6" s="69" t="n"/>
      <c r="Y6" s="42" t="n"/>
      <c r="Z6" s="69" t="n"/>
      <c r="AA6" s="69" t="n"/>
      <c r="AB6" s="69" t="n"/>
      <c r="AC6" s="69" t="n"/>
      <c r="AD6" s="69" t="n"/>
      <c r="AE6" s="69" t="n"/>
      <c r="AF6" s="69" t="n"/>
      <c r="AG6" s="42" t="n"/>
      <c r="AH6" s="69" t="n"/>
      <c r="AI6" s="69" t="n"/>
      <c r="AJ6" s="69" t="n"/>
      <c r="AK6" s="69" t="n"/>
      <c r="AL6" s="69" t="n"/>
      <c r="AM6" s="69" t="n"/>
      <c r="AN6" s="69" t="n"/>
      <c r="AO6" s="42" t="n"/>
      <c r="AP6" s="69" t="n"/>
      <c r="AQ6" s="69" t="n"/>
      <c r="AR6" s="69" t="n"/>
      <c r="AS6" s="69" t="n"/>
      <c r="AT6" s="69" t="n"/>
      <c r="AU6" s="69" t="n"/>
      <c r="AV6" s="69" t="n"/>
      <c r="AW6" s="42" t="n"/>
      <c r="AX6" s="69" t="n"/>
      <c r="AY6" s="69" t="n"/>
      <c r="AZ6" s="69" t="n"/>
      <c r="BA6" s="69" t="n"/>
      <c r="BB6" s="69" t="n"/>
      <c r="BC6" s="69" t="n"/>
      <c r="BD6" s="69" t="n"/>
    </row>
    <row r="7" ht="22" customHeight="1">
      <c r="B7" s="71" t="inlineStr">
        <is>
          <t>КП отправлено (шт.)</t>
        </is>
      </c>
      <c r="C7" s="72">
        <f>C17+C27+C37</f>
        <v/>
      </c>
      <c r="D7" s="72">
        <f>D17+D27+D37</f>
        <v/>
      </c>
      <c r="E7" s="73">
        <f>IFERROR(D7/C7,"")</f>
        <v/>
      </c>
      <c r="F7" s="72">
        <f>IFERROR(D7/IF(DAY(TODAY())=0,1,DAY(TODAY()))*G3,"")</f>
        <v/>
      </c>
      <c r="G7" s="73">
        <f>IFERROR(F7/C7,"")</f>
        <v/>
      </c>
      <c r="I7" s="42" t="n"/>
      <c r="J7" s="72" t="n"/>
      <c r="K7" s="72" t="n"/>
      <c r="L7" s="72" t="n"/>
      <c r="M7" s="72" t="n"/>
      <c r="N7" s="72" t="n"/>
      <c r="O7" s="72" t="n"/>
      <c r="P7" s="72" t="n"/>
      <c r="Q7" s="42" t="n"/>
      <c r="R7" s="72" t="n"/>
      <c r="S7" s="72" t="n"/>
      <c r="T7" s="72" t="n"/>
      <c r="U7" s="72" t="n"/>
      <c r="V7" s="72" t="n"/>
      <c r="W7" s="72" t="n"/>
      <c r="X7" s="72" t="n"/>
      <c r="Y7" s="42" t="n"/>
      <c r="Z7" s="72" t="n"/>
      <c r="AA7" s="72" t="n"/>
      <c r="AB7" s="72" t="n"/>
      <c r="AC7" s="72" t="n"/>
      <c r="AD7" s="72" t="n"/>
      <c r="AE7" s="72" t="n"/>
      <c r="AF7" s="72" t="n"/>
      <c r="AG7" s="42" t="n"/>
      <c r="AH7" s="72" t="n"/>
      <c r="AI7" s="72" t="n"/>
      <c r="AJ7" s="72" t="n"/>
      <c r="AK7" s="72" t="n"/>
      <c r="AL7" s="72" t="n"/>
      <c r="AM7" s="72" t="n"/>
      <c r="AN7" s="72" t="n"/>
      <c r="AO7" s="42" t="n"/>
      <c r="AP7" s="72" t="n"/>
      <c r="AQ7" s="72" t="n"/>
      <c r="AR7" s="72" t="n"/>
      <c r="AS7" s="72" t="n"/>
      <c r="AT7" s="72" t="n"/>
      <c r="AU7" s="72" t="n"/>
      <c r="AV7" s="72" t="n"/>
      <c r="AW7" s="42" t="n"/>
      <c r="AX7" s="72" t="n"/>
      <c r="AY7" s="72" t="n"/>
      <c r="AZ7" s="72" t="n"/>
      <c r="BA7" s="72" t="n"/>
      <c r="BB7" s="72" t="n"/>
      <c r="BC7" s="72" t="n"/>
      <c r="BD7" s="72" t="n"/>
    </row>
    <row r="8" ht="22" customHeight="1">
      <c r="B8" s="68" t="inlineStr">
        <is>
          <t>Назначено встреч (шт.)</t>
        </is>
      </c>
      <c r="C8" s="69">
        <f>C18+C28+C38</f>
        <v/>
      </c>
      <c r="D8" s="69">
        <f>D18+D28+D38</f>
        <v/>
      </c>
      <c r="E8" s="70">
        <f>IFERROR(D8/C8,"")</f>
        <v/>
      </c>
      <c r="F8" s="69">
        <f>IFERROR(D8/IF(DAY(TODAY())=0,1,DAY(TODAY()))*G3,"")</f>
        <v/>
      </c>
      <c r="G8" s="70">
        <f>IFERROR(F8/C8,"")</f>
        <v/>
      </c>
      <c r="I8" s="42" t="n"/>
      <c r="J8" s="69" t="n"/>
      <c r="K8" s="69" t="n"/>
      <c r="L8" s="69" t="n"/>
      <c r="M8" s="69" t="n"/>
      <c r="N8" s="69" t="n"/>
      <c r="O8" s="69" t="n"/>
      <c r="P8" s="69" t="n"/>
      <c r="Q8" s="42" t="n"/>
      <c r="R8" s="69" t="n"/>
      <c r="S8" s="69" t="n"/>
      <c r="T8" s="69" t="n"/>
      <c r="U8" s="69" t="n"/>
      <c r="V8" s="69" t="n"/>
      <c r="W8" s="69" t="n"/>
      <c r="X8" s="69" t="n"/>
      <c r="Y8" s="42" t="n"/>
      <c r="Z8" s="69" t="n"/>
      <c r="AA8" s="69" t="n"/>
      <c r="AB8" s="69" t="n"/>
      <c r="AC8" s="69" t="n"/>
      <c r="AD8" s="69" t="n"/>
      <c r="AE8" s="69" t="n"/>
      <c r="AF8" s="69" t="n"/>
      <c r="AG8" s="42" t="n"/>
      <c r="AH8" s="69" t="n"/>
      <c r="AI8" s="69" t="n"/>
      <c r="AJ8" s="69" t="n"/>
      <c r="AK8" s="69" t="n"/>
      <c r="AL8" s="69" t="n"/>
      <c r="AM8" s="69" t="n"/>
      <c r="AN8" s="69" t="n"/>
      <c r="AO8" s="42" t="n"/>
      <c r="AP8" s="69" t="n"/>
      <c r="AQ8" s="69" t="n"/>
      <c r="AR8" s="69" t="n"/>
      <c r="AS8" s="69" t="n"/>
      <c r="AT8" s="69" t="n"/>
      <c r="AU8" s="69" t="n"/>
      <c r="AV8" s="69" t="n"/>
      <c r="AW8" s="42" t="n"/>
      <c r="AX8" s="69" t="n"/>
      <c r="AY8" s="69" t="n"/>
      <c r="AZ8" s="69" t="n"/>
      <c r="BA8" s="69" t="n"/>
      <c r="BB8" s="69" t="n"/>
      <c r="BC8" s="69" t="n"/>
      <c r="BD8" s="69" t="n"/>
    </row>
    <row r="9" ht="22" customHeight="1">
      <c r="B9" s="71" t="inlineStr">
        <is>
          <t>Проведено встреч (шт.)</t>
        </is>
      </c>
      <c r="C9" s="72">
        <f>C19+C29+C39</f>
        <v/>
      </c>
      <c r="D9" s="72">
        <f>D19+D29+D39</f>
        <v/>
      </c>
      <c r="E9" s="73">
        <f>IFERROR(D9/C9,"")</f>
        <v/>
      </c>
      <c r="F9" s="72">
        <f>IFERROR(D9/IF(DAY(TODAY())=0,1,DAY(TODAY()))*G3,"")</f>
        <v/>
      </c>
      <c r="G9" s="73">
        <f>IFERROR(F9/C9,"")</f>
        <v/>
      </c>
      <c r="I9" s="42" t="n"/>
      <c r="J9" s="72" t="n"/>
      <c r="K9" s="72" t="n"/>
      <c r="L9" s="72" t="n"/>
      <c r="M9" s="72" t="n"/>
      <c r="N9" s="72" t="n"/>
      <c r="O9" s="72" t="n"/>
      <c r="P9" s="72" t="n"/>
      <c r="Q9" s="42" t="n"/>
      <c r="R9" s="72" t="n"/>
      <c r="S9" s="72" t="n"/>
      <c r="T9" s="72" t="n"/>
      <c r="U9" s="72" t="n"/>
      <c r="V9" s="72" t="n"/>
      <c r="W9" s="72" t="n"/>
      <c r="X9" s="72" t="n"/>
      <c r="Y9" s="42" t="n"/>
      <c r="Z9" s="72" t="n"/>
      <c r="AA9" s="72" t="n"/>
      <c r="AB9" s="72" t="n"/>
      <c r="AC9" s="72" t="n"/>
      <c r="AD9" s="72" t="n"/>
      <c r="AE9" s="72" t="n"/>
      <c r="AF9" s="72" t="n"/>
      <c r="AG9" s="42" t="n"/>
      <c r="AH9" s="72" t="n"/>
      <c r="AI9" s="72" t="n"/>
      <c r="AJ9" s="72" t="n"/>
      <c r="AK9" s="72" t="n"/>
      <c r="AL9" s="72" t="n"/>
      <c r="AM9" s="72" t="n"/>
      <c r="AN9" s="72" t="n"/>
      <c r="AO9" s="42" t="n"/>
      <c r="AP9" s="72" t="n"/>
      <c r="AQ9" s="72" t="n"/>
      <c r="AR9" s="72" t="n"/>
      <c r="AS9" s="72" t="n"/>
      <c r="AT9" s="72" t="n"/>
      <c r="AU9" s="72" t="n"/>
      <c r="AV9" s="72" t="n"/>
      <c r="AW9" s="42" t="n"/>
      <c r="AX9" s="72" t="n"/>
      <c r="AY9" s="72" t="n"/>
      <c r="AZ9" s="72" t="n"/>
      <c r="BA9" s="72" t="n"/>
      <c r="BB9" s="72" t="n"/>
      <c r="BC9" s="72" t="n"/>
      <c r="BD9" s="72" t="n"/>
    </row>
    <row r="10" ht="22" customHeight="1">
      <c r="B10" s="68" t="inlineStr">
        <is>
          <t>Кол-во продаж (шт.)</t>
        </is>
      </c>
      <c r="C10" s="69">
        <f>C20+C30+C40</f>
        <v/>
      </c>
      <c r="D10" s="69">
        <f>D20+D30+D40</f>
        <v/>
      </c>
      <c r="E10" s="70">
        <f>IFERROR(D10/C10,"")</f>
        <v/>
      </c>
      <c r="F10" s="69">
        <f>IFERROR(D10/IF(DAY(TODAY())=0,1,DAY(TODAY()))*G3,"")</f>
        <v/>
      </c>
      <c r="G10" s="70">
        <f>IFERROR(F10/C10,"")</f>
        <v/>
      </c>
      <c r="I10" s="42" t="n"/>
      <c r="J10" s="69" t="n"/>
      <c r="K10" s="69" t="n"/>
      <c r="L10" s="69" t="n"/>
      <c r="M10" s="69" t="n"/>
      <c r="N10" s="69" t="n"/>
      <c r="O10" s="69" t="n"/>
      <c r="P10" s="69" t="n"/>
      <c r="Q10" s="42" t="n"/>
      <c r="R10" s="69" t="n"/>
      <c r="S10" s="69" t="n"/>
      <c r="T10" s="69" t="n"/>
      <c r="U10" s="69" t="n"/>
      <c r="V10" s="69" t="n"/>
      <c r="W10" s="69" t="n"/>
      <c r="X10" s="69" t="n"/>
      <c r="Y10" s="42" t="n"/>
      <c r="Z10" s="69" t="n"/>
      <c r="AA10" s="69" t="n"/>
      <c r="AB10" s="69" t="n"/>
      <c r="AC10" s="69" t="n"/>
      <c r="AD10" s="69" t="n"/>
      <c r="AE10" s="69" t="n"/>
      <c r="AF10" s="69" t="n"/>
      <c r="AG10" s="42" t="n"/>
      <c r="AH10" s="69" t="n"/>
      <c r="AI10" s="69" t="n"/>
      <c r="AJ10" s="69" t="n"/>
      <c r="AK10" s="69" t="n"/>
      <c r="AL10" s="69" t="n"/>
      <c r="AM10" s="69" t="n"/>
      <c r="AN10" s="69" t="n"/>
      <c r="AO10" s="42" t="n"/>
      <c r="AP10" s="69" t="n"/>
      <c r="AQ10" s="69" t="n"/>
      <c r="AR10" s="69" t="n"/>
      <c r="AS10" s="69" t="n"/>
      <c r="AT10" s="69" t="n"/>
      <c r="AU10" s="69" t="n"/>
      <c r="AV10" s="69" t="n"/>
      <c r="AW10" s="42" t="n"/>
      <c r="AX10" s="69" t="n"/>
      <c r="AY10" s="69" t="n"/>
      <c r="AZ10" s="69" t="n"/>
      <c r="BA10" s="69" t="n"/>
      <c r="BB10" s="69" t="n"/>
      <c r="BC10" s="69" t="n"/>
      <c r="BD10" s="69" t="n"/>
    </row>
    <row r="11" ht="22" customHeight="1">
      <c r="B11" s="71" t="inlineStr">
        <is>
          <t>Сумма продаж (₽)</t>
        </is>
      </c>
      <c r="C11" s="72">
        <f>C21+C31+C41</f>
        <v/>
      </c>
      <c r="D11" s="72">
        <f>D21+D31+D41</f>
        <v/>
      </c>
      <c r="E11" s="73">
        <f>IFERROR(D11/C11,"")</f>
        <v/>
      </c>
      <c r="F11" s="72">
        <f>IFERROR(D11/IF(DAY(TODAY())=0,1,DAY(TODAY()))*G3,"")</f>
        <v/>
      </c>
      <c r="G11" s="73">
        <f>IFERROR(F11/C11,"")</f>
        <v/>
      </c>
      <c r="I11" s="42" t="n"/>
      <c r="J11" s="72" t="n"/>
      <c r="K11" s="72" t="n"/>
      <c r="L11" s="72" t="n"/>
      <c r="M11" s="72" t="n"/>
      <c r="N11" s="72" t="n"/>
      <c r="O11" s="72" t="n"/>
      <c r="P11" s="72" t="n"/>
      <c r="Q11" s="42" t="n"/>
      <c r="R11" s="72" t="n"/>
      <c r="S11" s="72" t="n"/>
      <c r="T11" s="72" t="n"/>
      <c r="U11" s="72" t="n"/>
      <c r="V11" s="72" t="n"/>
      <c r="W11" s="72" t="n"/>
      <c r="X11" s="72" t="n"/>
      <c r="Y11" s="42" t="n"/>
      <c r="Z11" s="72" t="n"/>
      <c r="AA11" s="72" t="n"/>
      <c r="AB11" s="72" t="n"/>
      <c r="AC11" s="72" t="n"/>
      <c r="AD11" s="72" t="n"/>
      <c r="AE11" s="72" t="n"/>
      <c r="AF11" s="72" t="n"/>
      <c r="AG11" s="42" t="n"/>
      <c r="AH11" s="72" t="n"/>
      <c r="AI11" s="72" t="n"/>
      <c r="AJ11" s="72" t="n"/>
      <c r="AK11" s="72" t="n"/>
      <c r="AL11" s="72" t="n"/>
      <c r="AM11" s="72" t="n"/>
      <c r="AN11" s="72" t="n"/>
      <c r="AO11" s="42" t="n"/>
      <c r="AP11" s="72" t="n"/>
      <c r="AQ11" s="72" t="n"/>
      <c r="AR11" s="72" t="n"/>
      <c r="AS11" s="72" t="n"/>
      <c r="AT11" s="72" t="n"/>
      <c r="AU11" s="72" t="n"/>
      <c r="AV11" s="72" t="n"/>
      <c r="AW11" s="42" t="n"/>
      <c r="AX11" s="72" t="n"/>
      <c r="AY11" s="72" t="n"/>
      <c r="AZ11" s="72" t="n"/>
      <c r="BA11" s="72" t="n"/>
      <c r="BB11" s="72" t="n"/>
      <c r="BC11" s="72" t="n"/>
      <c r="BD11" s="72" t="n"/>
    </row>
    <row r="12" ht="22" customHeight="1">
      <c r="B12" s="68" t="inlineStr">
        <is>
          <t>Средний чек (₽)</t>
        </is>
      </c>
      <c r="C12" s="69" t="inlineStr"/>
      <c r="D12" s="69">
        <f>IFERROR((D21+D31+D41)/(D20+D30+D40),"")</f>
        <v/>
      </c>
      <c r="E12" s="70">
        <f>IFERROR(D12/C12,"")</f>
        <v/>
      </c>
      <c r="F12" s="69">
        <f>IFERROR(D12/IF(DAY(TODAY())=0,1,DAY(TODAY()))*G3,"")</f>
        <v/>
      </c>
      <c r="G12" s="70">
        <f>IFERROR(F12/C12,"")</f>
        <v/>
      </c>
      <c r="I12" s="42" t="n"/>
      <c r="J12" s="69" t="n"/>
      <c r="K12" s="69" t="n"/>
      <c r="L12" s="69" t="n"/>
      <c r="M12" s="69" t="n"/>
      <c r="N12" s="69" t="n"/>
      <c r="O12" s="69" t="n"/>
      <c r="P12" s="69" t="n"/>
      <c r="Q12" s="42" t="n"/>
      <c r="R12" s="69" t="n"/>
      <c r="S12" s="69" t="n"/>
      <c r="T12" s="69" t="n"/>
      <c r="U12" s="69" t="n"/>
      <c r="V12" s="69" t="n"/>
      <c r="W12" s="69" t="n"/>
      <c r="X12" s="69" t="n"/>
      <c r="Y12" s="42" t="n"/>
      <c r="Z12" s="69" t="n"/>
      <c r="AA12" s="69" t="n"/>
      <c r="AB12" s="69" t="n"/>
      <c r="AC12" s="69" t="n"/>
      <c r="AD12" s="69" t="n"/>
      <c r="AE12" s="69" t="n"/>
      <c r="AF12" s="69" t="n"/>
      <c r="AG12" s="42" t="n"/>
      <c r="AH12" s="69" t="n"/>
      <c r="AI12" s="69" t="n"/>
      <c r="AJ12" s="69" t="n"/>
      <c r="AK12" s="69" t="n"/>
      <c r="AL12" s="69" t="n"/>
      <c r="AM12" s="69" t="n"/>
      <c r="AN12" s="69" t="n"/>
      <c r="AO12" s="42" t="n"/>
      <c r="AP12" s="69" t="n"/>
      <c r="AQ12" s="69" t="n"/>
      <c r="AR12" s="69" t="n"/>
      <c r="AS12" s="69" t="n"/>
      <c r="AT12" s="69" t="n"/>
      <c r="AU12" s="69" t="n"/>
      <c r="AV12" s="69" t="n"/>
      <c r="AW12" s="42" t="n"/>
      <c r="AX12" s="69" t="n"/>
      <c r="AY12" s="69" t="n"/>
      <c r="AZ12" s="69" t="n"/>
      <c r="BA12" s="69" t="n"/>
      <c r="BB12" s="69" t="n"/>
      <c r="BC12" s="69" t="n"/>
      <c r="BD12" s="69" t="n"/>
    </row>
    <row r="13" ht="22" customHeight="1">
      <c r="B13" s="71" t="inlineStr">
        <is>
          <t>CV лид→продажа (%)</t>
        </is>
      </c>
      <c r="C13" s="75">
        <f>IFERROR((C20+C30+C40)/(C16+C26+C36),"")</f>
        <v/>
      </c>
      <c r="D13" s="75">
        <f>IFERROR((D20+D30+D40)/(D16+D26+D36),"")</f>
        <v/>
      </c>
      <c r="E13" s="73">
        <f>IFERROR(D13/C13,"")</f>
        <v/>
      </c>
      <c r="F13" s="75">
        <f>IFERROR(D13/IF(DAY(TODAY())=0,1,DAY(TODAY()))*G3,"")</f>
        <v/>
      </c>
      <c r="G13" s="73">
        <f>IFERROR(F13/C13,"")</f>
        <v/>
      </c>
      <c r="I13" s="42" t="n"/>
      <c r="J13" s="75" t="n"/>
      <c r="K13" s="75" t="n"/>
      <c r="L13" s="75" t="n"/>
      <c r="M13" s="75" t="n"/>
      <c r="N13" s="75" t="n"/>
      <c r="O13" s="75" t="n"/>
      <c r="P13" s="75" t="n"/>
      <c r="Q13" s="42" t="n"/>
      <c r="R13" s="75" t="n"/>
      <c r="S13" s="75" t="n"/>
      <c r="T13" s="75" t="n"/>
      <c r="U13" s="75" t="n"/>
      <c r="V13" s="75" t="n"/>
      <c r="W13" s="75" t="n"/>
      <c r="X13" s="75" t="n"/>
      <c r="Y13" s="42" t="n"/>
      <c r="Z13" s="75" t="n"/>
      <c r="AA13" s="75" t="n"/>
      <c r="AB13" s="75" t="n"/>
      <c r="AC13" s="75" t="n"/>
      <c r="AD13" s="75" t="n"/>
      <c r="AE13" s="75" t="n"/>
      <c r="AF13" s="75" t="n"/>
      <c r="AG13" s="42" t="n"/>
      <c r="AH13" s="75" t="n"/>
      <c r="AI13" s="75" t="n"/>
      <c r="AJ13" s="75" t="n"/>
      <c r="AK13" s="75" t="n"/>
      <c r="AL13" s="75" t="n"/>
      <c r="AM13" s="75" t="n"/>
      <c r="AN13" s="75" t="n"/>
      <c r="AO13" s="42" t="n"/>
      <c r="AP13" s="75" t="n"/>
      <c r="AQ13" s="75" t="n"/>
      <c r="AR13" s="75" t="n"/>
      <c r="AS13" s="75" t="n"/>
      <c r="AT13" s="75" t="n"/>
      <c r="AU13" s="75" t="n"/>
      <c r="AV13" s="75" t="n"/>
      <c r="AW13" s="42" t="n"/>
      <c r="AX13" s="75" t="n"/>
      <c r="AY13" s="75" t="n"/>
      <c r="AZ13" s="75" t="n"/>
      <c r="BA13" s="75" t="n"/>
      <c r="BB13" s="75" t="n"/>
      <c r="BC13" s="75" t="n"/>
      <c r="BD13" s="75" t="n"/>
    </row>
    <row r="14" ht="6" customHeight="1"/>
    <row r="15" ht="20" customHeight="1">
      <c r="B15" s="93" t="inlineStr">
        <is>
          <t>МЕНЕДЖЕР 1</t>
        </is>
      </c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4" t="n"/>
    </row>
    <row r="16" ht="22" customHeight="1">
      <c r="B16" s="68" t="inlineStr">
        <is>
          <t>Новых лидов (шт.)</t>
        </is>
      </c>
      <c r="C16" s="69" t="inlineStr"/>
      <c r="D16" s="69">
        <f>SUM(J16:P16)+SUM(R16:X16)+SUM(Z16:AF16)+SUM(AH16:AN16)+SUM(AP16:AV16)+SUM(AX16:BD16)</f>
        <v/>
      </c>
      <c r="E16" s="70">
        <f>IFERROR(D16/C16,"")</f>
        <v/>
      </c>
      <c r="F16" s="69">
        <f>IFERROR(D16/IF(DAY(TODAY())=0,1,DAY(TODAY()))*G3,"")</f>
        <v/>
      </c>
      <c r="G16" s="70">
        <f>IFERROR(F16/C16,"")</f>
        <v/>
      </c>
      <c r="I16" s="42" t="n"/>
      <c r="J16" s="69" t="n"/>
      <c r="K16" s="69" t="n"/>
      <c r="L16" s="69" t="n"/>
      <c r="M16" s="69" t="n"/>
      <c r="N16" s="69" t="n"/>
      <c r="O16" s="69" t="n"/>
      <c r="P16" s="69" t="n"/>
      <c r="Q16" s="42" t="n"/>
      <c r="R16" s="69" t="n"/>
      <c r="S16" s="69" t="n"/>
      <c r="T16" s="69" t="n"/>
      <c r="U16" s="69" t="n"/>
      <c r="V16" s="69" t="n"/>
      <c r="W16" s="69" t="n"/>
      <c r="X16" s="69" t="n"/>
      <c r="Y16" s="42" t="n"/>
      <c r="Z16" s="69" t="n"/>
      <c r="AA16" s="69" t="n"/>
      <c r="AB16" s="69" t="n"/>
      <c r="AC16" s="69" t="n"/>
      <c r="AD16" s="69" t="n"/>
      <c r="AE16" s="69" t="n"/>
      <c r="AF16" s="69" t="n"/>
      <c r="AG16" s="42" t="n"/>
      <c r="AH16" s="69" t="n"/>
      <c r="AI16" s="69" t="n"/>
      <c r="AJ16" s="69" t="n"/>
      <c r="AK16" s="69" t="n"/>
      <c r="AL16" s="69" t="n"/>
      <c r="AM16" s="69" t="n"/>
      <c r="AN16" s="69" t="n"/>
      <c r="AO16" s="42" t="n"/>
      <c r="AP16" s="69" t="n"/>
      <c r="AQ16" s="69" t="n"/>
      <c r="AR16" s="69" t="n"/>
      <c r="AS16" s="69" t="n"/>
      <c r="AT16" s="69" t="n"/>
      <c r="AU16" s="69" t="n"/>
      <c r="AV16" s="69" t="n"/>
      <c r="AW16" s="42" t="n"/>
      <c r="AX16" s="69" t="n"/>
      <c r="AY16" s="69" t="n"/>
      <c r="AZ16" s="69" t="n"/>
      <c r="BA16" s="69" t="n"/>
      <c r="BB16" s="69" t="n"/>
      <c r="BC16" s="69" t="n"/>
      <c r="BD16" s="69" t="n"/>
    </row>
    <row r="17" ht="22" customHeight="1">
      <c r="B17" s="71" t="inlineStr">
        <is>
          <t>КП отправлено (шт.)</t>
        </is>
      </c>
      <c r="C17" s="72" t="inlineStr"/>
      <c r="D17" s="72">
        <f>SUM(J17:P17)+SUM(R17:X17)+SUM(Z17:AF17)+SUM(AH17:AN17)+SUM(AP17:AV17)+SUM(AX17:BD17)</f>
        <v/>
      </c>
      <c r="E17" s="73">
        <f>IFERROR(D17/C17,"")</f>
        <v/>
      </c>
      <c r="F17" s="72">
        <f>IFERROR(D17/IF(DAY(TODAY())=0,1,DAY(TODAY()))*G3,"")</f>
        <v/>
      </c>
      <c r="G17" s="73">
        <f>IFERROR(F17/C17,"")</f>
        <v/>
      </c>
      <c r="I17" s="42" t="n"/>
      <c r="J17" s="72" t="n"/>
      <c r="K17" s="72" t="n"/>
      <c r="L17" s="72" t="n"/>
      <c r="M17" s="72" t="n"/>
      <c r="N17" s="72" t="n"/>
      <c r="O17" s="72" t="n"/>
      <c r="P17" s="72" t="n"/>
      <c r="Q17" s="42" t="n"/>
      <c r="R17" s="72" t="n"/>
      <c r="S17" s="72" t="n"/>
      <c r="T17" s="72" t="n"/>
      <c r="U17" s="72" t="n"/>
      <c r="V17" s="72" t="n"/>
      <c r="W17" s="72" t="n"/>
      <c r="X17" s="72" t="n"/>
      <c r="Y17" s="42" t="n"/>
      <c r="Z17" s="72" t="n"/>
      <c r="AA17" s="72" t="n"/>
      <c r="AB17" s="72" t="n"/>
      <c r="AC17" s="72" t="n"/>
      <c r="AD17" s="72" t="n"/>
      <c r="AE17" s="72" t="n"/>
      <c r="AF17" s="72" t="n"/>
      <c r="AG17" s="42" t="n"/>
      <c r="AH17" s="72" t="n"/>
      <c r="AI17" s="72" t="n"/>
      <c r="AJ17" s="72" t="n"/>
      <c r="AK17" s="72" t="n"/>
      <c r="AL17" s="72" t="n"/>
      <c r="AM17" s="72" t="n"/>
      <c r="AN17" s="72" t="n"/>
      <c r="AO17" s="42" t="n"/>
      <c r="AP17" s="72" t="n"/>
      <c r="AQ17" s="72" t="n"/>
      <c r="AR17" s="72" t="n"/>
      <c r="AS17" s="72" t="n"/>
      <c r="AT17" s="72" t="n"/>
      <c r="AU17" s="72" t="n"/>
      <c r="AV17" s="72" t="n"/>
      <c r="AW17" s="42" t="n"/>
      <c r="AX17" s="72" t="n"/>
      <c r="AY17" s="72" t="n"/>
      <c r="AZ17" s="72" t="n"/>
      <c r="BA17" s="72" t="n"/>
      <c r="BB17" s="72" t="n"/>
      <c r="BC17" s="72" t="n"/>
      <c r="BD17" s="72" t="n"/>
    </row>
    <row r="18" ht="22" customHeight="1">
      <c r="B18" s="68" t="inlineStr">
        <is>
          <t>Назначено встреч (шт.)</t>
        </is>
      </c>
      <c r="C18" s="69" t="inlineStr"/>
      <c r="D18" s="69">
        <f>SUM(J18:P18)+SUM(R18:X18)+SUM(Z18:AF18)+SUM(AH18:AN18)+SUM(AP18:AV18)+SUM(AX18:BD18)</f>
        <v/>
      </c>
      <c r="E18" s="70">
        <f>IFERROR(D18/C18,"")</f>
        <v/>
      </c>
      <c r="F18" s="69">
        <f>IFERROR(D18/IF(DAY(TODAY())=0,1,DAY(TODAY()))*G3,"")</f>
        <v/>
      </c>
      <c r="G18" s="70">
        <f>IFERROR(F18/C18,"")</f>
        <v/>
      </c>
      <c r="I18" s="42" t="n"/>
      <c r="J18" s="69" t="n"/>
      <c r="K18" s="69" t="n"/>
      <c r="L18" s="69" t="n"/>
      <c r="M18" s="69" t="n"/>
      <c r="N18" s="69" t="n"/>
      <c r="O18" s="69" t="n"/>
      <c r="P18" s="69" t="n"/>
      <c r="Q18" s="42" t="n"/>
      <c r="R18" s="69" t="n"/>
      <c r="S18" s="69" t="n"/>
      <c r="T18" s="69" t="n"/>
      <c r="U18" s="69" t="n"/>
      <c r="V18" s="69" t="n"/>
      <c r="W18" s="69" t="n"/>
      <c r="X18" s="69" t="n"/>
      <c r="Y18" s="42" t="n"/>
      <c r="Z18" s="69" t="n"/>
      <c r="AA18" s="69" t="n"/>
      <c r="AB18" s="69" t="n"/>
      <c r="AC18" s="69" t="n"/>
      <c r="AD18" s="69" t="n"/>
      <c r="AE18" s="69" t="n"/>
      <c r="AF18" s="69" t="n"/>
      <c r="AG18" s="42" t="n"/>
      <c r="AH18" s="69" t="n"/>
      <c r="AI18" s="69" t="n"/>
      <c r="AJ18" s="69" t="n"/>
      <c r="AK18" s="69" t="n"/>
      <c r="AL18" s="69" t="n"/>
      <c r="AM18" s="69" t="n"/>
      <c r="AN18" s="69" t="n"/>
      <c r="AO18" s="42" t="n"/>
      <c r="AP18" s="69" t="n"/>
      <c r="AQ18" s="69" t="n"/>
      <c r="AR18" s="69" t="n"/>
      <c r="AS18" s="69" t="n"/>
      <c r="AT18" s="69" t="n"/>
      <c r="AU18" s="69" t="n"/>
      <c r="AV18" s="69" t="n"/>
      <c r="AW18" s="42" t="n"/>
      <c r="AX18" s="69" t="n"/>
      <c r="AY18" s="69" t="n"/>
      <c r="AZ18" s="69" t="n"/>
      <c r="BA18" s="69" t="n"/>
      <c r="BB18" s="69" t="n"/>
      <c r="BC18" s="69" t="n"/>
      <c r="BD18" s="69" t="n"/>
    </row>
    <row r="19" ht="22" customHeight="1">
      <c r="B19" s="71" t="inlineStr">
        <is>
          <t>Проведено встреч (шт.)</t>
        </is>
      </c>
      <c r="C19" s="72" t="inlineStr"/>
      <c r="D19" s="72">
        <f>SUM(J19:P19)+SUM(R19:X19)+SUM(Z19:AF19)+SUM(AH19:AN19)+SUM(AP19:AV19)+SUM(AX19:BD19)</f>
        <v/>
      </c>
      <c r="E19" s="73">
        <f>IFERROR(D19/C19,"")</f>
        <v/>
      </c>
      <c r="F19" s="72">
        <f>IFERROR(D19/IF(DAY(TODAY())=0,1,DAY(TODAY()))*G3,"")</f>
        <v/>
      </c>
      <c r="G19" s="73">
        <f>IFERROR(F19/C19,"")</f>
        <v/>
      </c>
      <c r="I19" s="42" t="n"/>
      <c r="J19" s="72" t="n"/>
      <c r="K19" s="72" t="n"/>
      <c r="L19" s="72" t="n"/>
      <c r="M19" s="72" t="n"/>
      <c r="N19" s="72" t="n"/>
      <c r="O19" s="72" t="n"/>
      <c r="P19" s="72" t="n"/>
      <c r="Q19" s="42" t="n"/>
      <c r="R19" s="72" t="n"/>
      <c r="S19" s="72" t="n"/>
      <c r="T19" s="72" t="n"/>
      <c r="U19" s="72" t="n"/>
      <c r="V19" s="72" t="n"/>
      <c r="W19" s="72" t="n"/>
      <c r="X19" s="72" t="n"/>
      <c r="Y19" s="42" t="n"/>
      <c r="Z19" s="72" t="n"/>
      <c r="AA19" s="72" t="n"/>
      <c r="AB19" s="72" t="n"/>
      <c r="AC19" s="72" t="n"/>
      <c r="AD19" s="72" t="n"/>
      <c r="AE19" s="72" t="n"/>
      <c r="AF19" s="72" t="n"/>
      <c r="AG19" s="42" t="n"/>
      <c r="AH19" s="72" t="n"/>
      <c r="AI19" s="72" t="n"/>
      <c r="AJ19" s="72" t="n"/>
      <c r="AK19" s="72" t="n"/>
      <c r="AL19" s="72" t="n"/>
      <c r="AM19" s="72" t="n"/>
      <c r="AN19" s="72" t="n"/>
      <c r="AO19" s="42" t="n"/>
      <c r="AP19" s="72" t="n"/>
      <c r="AQ19" s="72" t="n"/>
      <c r="AR19" s="72" t="n"/>
      <c r="AS19" s="72" t="n"/>
      <c r="AT19" s="72" t="n"/>
      <c r="AU19" s="72" t="n"/>
      <c r="AV19" s="72" t="n"/>
      <c r="AW19" s="42" t="n"/>
      <c r="AX19" s="72" t="n"/>
      <c r="AY19" s="72" t="n"/>
      <c r="AZ19" s="72" t="n"/>
      <c r="BA19" s="72" t="n"/>
      <c r="BB19" s="72" t="n"/>
      <c r="BC19" s="72" t="n"/>
      <c r="BD19" s="72" t="n"/>
    </row>
    <row r="20" ht="22" customHeight="1">
      <c r="B20" s="68" t="inlineStr">
        <is>
          <t>Кол-во продаж (шт.)</t>
        </is>
      </c>
      <c r="C20" s="69" t="inlineStr"/>
      <c r="D20" s="69">
        <f>SUM(J20:P20)+SUM(R20:X20)+SUM(Z20:AF20)+SUM(AH20:AN20)+SUM(AP20:AV20)+SUM(AX20:BD20)</f>
        <v/>
      </c>
      <c r="E20" s="70">
        <f>IFERROR(D20/C20,"")</f>
        <v/>
      </c>
      <c r="F20" s="69">
        <f>IFERROR(D20/IF(DAY(TODAY())=0,1,DAY(TODAY()))*G3,"")</f>
        <v/>
      </c>
      <c r="G20" s="70">
        <f>IFERROR(F20/C20,"")</f>
        <v/>
      </c>
      <c r="I20" s="42" t="n"/>
      <c r="J20" s="69" t="n"/>
      <c r="K20" s="69" t="n"/>
      <c r="L20" s="69" t="n"/>
      <c r="M20" s="69" t="n"/>
      <c r="N20" s="69" t="n"/>
      <c r="O20" s="69" t="n"/>
      <c r="P20" s="69" t="n"/>
      <c r="Q20" s="42" t="n"/>
      <c r="R20" s="69" t="n"/>
      <c r="S20" s="69" t="n"/>
      <c r="T20" s="69" t="n"/>
      <c r="U20" s="69" t="n"/>
      <c r="V20" s="69" t="n"/>
      <c r="W20" s="69" t="n"/>
      <c r="X20" s="69" t="n"/>
      <c r="Y20" s="42" t="n"/>
      <c r="Z20" s="69" t="n"/>
      <c r="AA20" s="69" t="n"/>
      <c r="AB20" s="69" t="n"/>
      <c r="AC20" s="69" t="n"/>
      <c r="AD20" s="69" t="n"/>
      <c r="AE20" s="69" t="n"/>
      <c r="AF20" s="69" t="n"/>
      <c r="AG20" s="42" t="n"/>
      <c r="AH20" s="69" t="n"/>
      <c r="AI20" s="69" t="n"/>
      <c r="AJ20" s="69" t="n"/>
      <c r="AK20" s="69" t="n"/>
      <c r="AL20" s="69" t="n"/>
      <c r="AM20" s="69" t="n"/>
      <c r="AN20" s="69" t="n"/>
      <c r="AO20" s="42" t="n"/>
      <c r="AP20" s="69" t="n"/>
      <c r="AQ20" s="69" t="n"/>
      <c r="AR20" s="69" t="n"/>
      <c r="AS20" s="69" t="n"/>
      <c r="AT20" s="69" t="n"/>
      <c r="AU20" s="69" t="n"/>
      <c r="AV20" s="69" t="n"/>
      <c r="AW20" s="42" t="n"/>
      <c r="AX20" s="69" t="n"/>
      <c r="AY20" s="69" t="n"/>
      <c r="AZ20" s="69" t="n"/>
      <c r="BA20" s="69" t="n"/>
      <c r="BB20" s="69" t="n"/>
      <c r="BC20" s="69" t="n"/>
      <c r="BD20" s="69" t="n"/>
    </row>
    <row r="21" ht="22" customHeight="1">
      <c r="B21" s="71" t="inlineStr">
        <is>
          <t>Сумма продаж (₽)</t>
        </is>
      </c>
      <c r="C21" s="72" t="inlineStr"/>
      <c r="D21" s="72">
        <f>SUM(J21:P21)+SUM(R21:X21)+SUM(Z21:AF21)+SUM(AH21:AN21)+SUM(AP21:AV21)+SUM(AX21:BD21)</f>
        <v/>
      </c>
      <c r="E21" s="73">
        <f>IFERROR(D21/C21,"")</f>
        <v/>
      </c>
      <c r="F21" s="72">
        <f>IFERROR(D21/IF(DAY(TODAY())=0,1,DAY(TODAY()))*G3,"")</f>
        <v/>
      </c>
      <c r="G21" s="73">
        <f>IFERROR(F21/C21,"")</f>
        <v/>
      </c>
      <c r="I21" s="42" t="n"/>
      <c r="J21" s="72" t="n"/>
      <c r="K21" s="72" t="n"/>
      <c r="L21" s="72" t="n"/>
      <c r="M21" s="72" t="n"/>
      <c r="N21" s="72" t="n"/>
      <c r="O21" s="72" t="n"/>
      <c r="P21" s="72" t="n"/>
      <c r="Q21" s="42" t="n"/>
      <c r="R21" s="72" t="n"/>
      <c r="S21" s="72" t="n"/>
      <c r="T21" s="72" t="n"/>
      <c r="U21" s="72" t="n"/>
      <c r="V21" s="72" t="n"/>
      <c r="W21" s="72" t="n"/>
      <c r="X21" s="72" t="n"/>
      <c r="Y21" s="42" t="n"/>
      <c r="Z21" s="72" t="n"/>
      <c r="AA21" s="72" t="n"/>
      <c r="AB21" s="72" t="n"/>
      <c r="AC21" s="72" t="n"/>
      <c r="AD21" s="72" t="n"/>
      <c r="AE21" s="72" t="n"/>
      <c r="AF21" s="72" t="n"/>
      <c r="AG21" s="42" t="n"/>
      <c r="AH21" s="72" t="n"/>
      <c r="AI21" s="72" t="n"/>
      <c r="AJ21" s="72" t="n"/>
      <c r="AK21" s="72" t="n"/>
      <c r="AL21" s="72" t="n"/>
      <c r="AM21" s="72" t="n"/>
      <c r="AN21" s="72" t="n"/>
      <c r="AO21" s="42" t="n"/>
      <c r="AP21" s="72" t="n"/>
      <c r="AQ21" s="72" t="n"/>
      <c r="AR21" s="72" t="n"/>
      <c r="AS21" s="72" t="n"/>
      <c r="AT21" s="72" t="n"/>
      <c r="AU21" s="72" t="n"/>
      <c r="AV21" s="72" t="n"/>
      <c r="AW21" s="42" t="n"/>
      <c r="AX21" s="72" t="n"/>
      <c r="AY21" s="72" t="n"/>
      <c r="AZ21" s="72" t="n"/>
      <c r="BA21" s="72" t="n"/>
      <c r="BB21" s="72" t="n"/>
      <c r="BC21" s="72" t="n"/>
      <c r="BD21" s="72" t="n"/>
    </row>
    <row r="22" ht="22" customHeight="1">
      <c r="B22" s="68" t="inlineStr">
        <is>
          <t>Средний чек (₽)</t>
        </is>
      </c>
      <c r="C22" s="69">
        <f>IFERROR(C21/C20,"")</f>
        <v/>
      </c>
      <c r="D22" s="69">
        <f>IFERROR(D21/D20,"")</f>
        <v/>
      </c>
      <c r="E22" s="70">
        <f>IFERROR(D22/C22,"")</f>
        <v/>
      </c>
      <c r="F22" s="69">
        <f>IFERROR(D22/IF(DAY(TODAY())=0,1,DAY(TODAY()))*G3,"")</f>
        <v/>
      </c>
      <c r="G22" s="70">
        <f>IFERROR(F22/C22,"")</f>
        <v/>
      </c>
      <c r="I22" s="42" t="n"/>
      <c r="J22" s="69" t="n"/>
      <c r="K22" s="69" t="n"/>
      <c r="L22" s="69" t="n"/>
      <c r="M22" s="69" t="n"/>
      <c r="N22" s="69" t="n"/>
      <c r="O22" s="69" t="n"/>
      <c r="P22" s="69" t="n"/>
      <c r="Q22" s="42" t="n"/>
      <c r="R22" s="69" t="n"/>
      <c r="S22" s="69" t="n"/>
      <c r="T22" s="69" t="n"/>
      <c r="U22" s="69" t="n"/>
      <c r="V22" s="69" t="n"/>
      <c r="W22" s="69" t="n"/>
      <c r="X22" s="69" t="n"/>
      <c r="Y22" s="42" t="n"/>
      <c r="Z22" s="69" t="n"/>
      <c r="AA22" s="69" t="n"/>
      <c r="AB22" s="69" t="n"/>
      <c r="AC22" s="69" t="n"/>
      <c r="AD22" s="69" t="n"/>
      <c r="AE22" s="69" t="n"/>
      <c r="AF22" s="69" t="n"/>
      <c r="AG22" s="42" t="n"/>
      <c r="AH22" s="69" t="n"/>
      <c r="AI22" s="69" t="n"/>
      <c r="AJ22" s="69" t="n"/>
      <c r="AK22" s="69" t="n"/>
      <c r="AL22" s="69" t="n"/>
      <c r="AM22" s="69" t="n"/>
      <c r="AN22" s="69" t="n"/>
      <c r="AO22" s="42" t="n"/>
      <c r="AP22" s="69" t="n"/>
      <c r="AQ22" s="69" t="n"/>
      <c r="AR22" s="69" t="n"/>
      <c r="AS22" s="69" t="n"/>
      <c r="AT22" s="69" t="n"/>
      <c r="AU22" s="69" t="n"/>
      <c r="AV22" s="69" t="n"/>
      <c r="AW22" s="42" t="n"/>
      <c r="AX22" s="69" t="n"/>
      <c r="AY22" s="69" t="n"/>
      <c r="AZ22" s="69" t="n"/>
      <c r="BA22" s="69" t="n"/>
      <c r="BB22" s="69" t="n"/>
      <c r="BC22" s="69" t="n"/>
      <c r="BD22" s="69" t="n"/>
    </row>
    <row r="23" ht="22" customHeight="1">
      <c r="B23" s="71" t="inlineStr">
        <is>
          <t>CV лид→продажа (%)</t>
        </is>
      </c>
      <c r="C23" s="75">
        <f>IFERROR(C20/C16,"")</f>
        <v/>
      </c>
      <c r="D23" s="75">
        <f>IFERROR(D20/D16,"")</f>
        <v/>
      </c>
      <c r="E23" s="73">
        <f>IFERROR(D23/C23,"")</f>
        <v/>
      </c>
      <c r="F23" s="113" t="n"/>
      <c r="G23" s="113" t="n"/>
      <c r="I23" s="42" t="n"/>
      <c r="J23" s="75" t="n"/>
      <c r="K23" s="75" t="n"/>
      <c r="L23" s="75" t="n"/>
      <c r="M23" s="75" t="n"/>
      <c r="N23" s="75" t="n"/>
      <c r="O23" s="75" t="n"/>
      <c r="P23" s="75" t="n"/>
      <c r="Q23" s="42" t="n"/>
      <c r="R23" s="75" t="n"/>
      <c r="S23" s="75" t="n"/>
      <c r="T23" s="75" t="n"/>
      <c r="U23" s="75" t="n"/>
      <c r="V23" s="75" t="n"/>
      <c r="W23" s="75" t="n"/>
      <c r="X23" s="75" t="n"/>
      <c r="Y23" s="42" t="n"/>
      <c r="Z23" s="75" t="n"/>
      <c r="AA23" s="75" t="n"/>
      <c r="AB23" s="75" t="n"/>
      <c r="AC23" s="75" t="n"/>
      <c r="AD23" s="75" t="n"/>
      <c r="AE23" s="75" t="n"/>
      <c r="AF23" s="75" t="n"/>
      <c r="AG23" s="42" t="n"/>
      <c r="AH23" s="75" t="n"/>
      <c r="AI23" s="75" t="n"/>
      <c r="AJ23" s="75" t="n"/>
      <c r="AK23" s="75" t="n"/>
      <c r="AL23" s="75" t="n"/>
      <c r="AM23" s="75" t="n"/>
      <c r="AN23" s="75" t="n"/>
      <c r="AO23" s="42" t="n"/>
      <c r="AP23" s="75" t="n"/>
      <c r="AQ23" s="75" t="n"/>
      <c r="AR23" s="75" t="n"/>
      <c r="AS23" s="75" t="n"/>
      <c r="AT23" s="75" t="n"/>
      <c r="AU23" s="75" t="n"/>
      <c r="AV23" s="75" t="n"/>
      <c r="AW23" s="42" t="n"/>
      <c r="AX23" s="75" t="n"/>
      <c r="AY23" s="75" t="n"/>
      <c r="AZ23" s="75" t="n"/>
      <c r="BA23" s="75" t="n"/>
      <c r="BB23" s="75" t="n"/>
      <c r="BC23" s="75" t="n"/>
      <c r="BD23" s="75" t="n"/>
    </row>
    <row r="24" ht="6" customHeight="1"/>
    <row r="25" ht="20" customHeight="1">
      <c r="B25" s="93" t="inlineStr">
        <is>
          <t>МЕНЕДЖЕР 2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4" t="n"/>
    </row>
    <row r="26" ht="22" customHeight="1">
      <c r="B26" s="68" t="inlineStr">
        <is>
          <t>Новых лидов (шт.)</t>
        </is>
      </c>
      <c r="C26" s="69" t="inlineStr"/>
      <c r="D26" s="69">
        <f>SUM(J26:P26)+SUM(R26:X26)+SUM(Z26:AF26)+SUM(AH26:AN26)+SUM(AP26:AV26)+SUM(AX26:BD26)</f>
        <v/>
      </c>
      <c r="E26" s="70">
        <f>IFERROR(D26/C26,"")</f>
        <v/>
      </c>
      <c r="F26" s="69">
        <f>IFERROR(D26/IF(DAY(TODAY())=0,1,DAY(TODAY()))*G3,"")</f>
        <v/>
      </c>
      <c r="G26" s="70">
        <f>IFERROR(F26/C26,"")</f>
        <v/>
      </c>
      <c r="I26" s="42" t="n"/>
      <c r="J26" s="69" t="n"/>
      <c r="K26" s="69" t="n"/>
      <c r="L26" s="69" t="n"/>
      <c r="M26" s="69" t="n"/>
      <c r="N26" s="69" t="n"/>
      <c r="O26" s="69" t="n"/>
      <c r="P26" s="69" t="n"/>
      <c r="Q26" s="42" t="n"/>
      <c r="R26" s="69" t="n"/>
      <c r="S26" s="69" t="n"/>
      <c r="T26" s="69" t="n"/>
      <c r="U26" s="69" t="n"/>
      <c r="V26" s="69" t="n"/>
      <c r="W26" s="69" t="n"/>
      <c r="X26" s="69" t="n"/>
      <c r="Y26" s="42" t="n"/>
      <c r="Z26" s="69" t="n"/>
      <c r="AA26" s="69" t="n"/>
      <c r="AB26" s="69" t="n"/>
      <c r="AC26" s="69" t="n"/>
      <c r="AD26" s="69" t="n"/>
      <c r="AE26" s="69" t="n"/>
      <c r="AF26" s="69" t="n"/>
      <c r="AG26" s="42" t="n"/>
      <c r="AH26" s="69" t="n"/>
      <c r="AI26" s="69" t="n"/>
      <c r="AJ26" s="69" t="n"/>
      <c r="AK26" s="69" t="n"/>
      <c r="AL26" s="69" t="n"/>
      <c r="AM26" s="69" t="n"/>
      <c r="AN26" s="69" t="n"/>
      <c r="AO26" s="42" t="n"/>
      <c r="AP26" s="69" t="n"/>
      <c r="AQ26" s="69" t="n"/>
      <c r="AR26" s="69" t="n"/>
      <c r="AS26" s="69" t="n"/>
      <c r="AT26" s="69" t="n"/>
      <c r="AU26" s="69" t="n"/>
      <c r="AV26" s="69" t="n"/>
      <c r="AW26" s="42" t="n"/>
      <c r="AX26" s="69" t="n"/>
      <c r="AY26" s="69" t="n"/>
      <c r="AZ26" s="69" t="n"/>
      <c r="BA26" s="69" t="n"/>
      <c r="BB26" s="69" t="n"/>
      <c r="BC26" s="69" t="n"/>
      <c r="BD26" s="69" t="n"/>
    </row>
    <row r="27" ht="22" customHeight="1">
      <c r="B27" s="71" t="inlineStr">
        <is>
          <t>КП отправлено (шт.)</t>
        </is>
      </c>
      <c r="C27" s="72" t="inlineStr"/>
      <c r="D27" s="72">
        <f>SUM(J27:P27)+SUM(R27:X27)+SUM(Z27:AF27)+SUM(AH27:AN27)+SUM(AP27:AV27)+SUM(AX27:BD27)</f>
        <v/>
      </c>
      <c r="E27" s="73">
        <f>IFERROR(D27/C27,"")</f>
        <v/>
      </c>
      <c r="F27" s="72">
        <f>IFERROR(D27/IF(DAY(TODAY())=0,1,DAY(TODAY()))*G3,"")</f>
        <v/>
      </c>
      <c r="G27" s="73">
        <f>IFERROR(F27/C27,"")</f>
        <v/>
      </c>
      <c r="I27" s="42" t="n"/>
      <c r="J27" s="72" t="n"/>
      <c r="K27" s="72" t="n"/>
      <c r="L27" s="72" t="n"/>
      <c r="M27" s="72" t="n"/>
      <c r="N27" s="72" t="n"/>
      <c r="O27" s="72" t="n"/>
      <c r="P27" s="72" t="n"/>
      <c r="Q27" s="42" t="n"/>
      <c r="R27" s="72" t="n"/>
      <c r="S27" s="72" t="n"/>
      <c r="T27" s="72" t="n"/>
      <c r="U27" s="72" t="n"/>
      <c r="V27" s="72" t="n"/>
      <c r="W27" s="72" t="n"/>
      <c r="X27" s="72" t="n"/>
      <c r="Y27" s="42" t="n"/>
      <c r="Z27" s="72" t="n"/>
      <c r="AA27" s="72" t="n"/>
      <c r="AB27" s="72" t="n"/>
      <c r="AC27" s="72" t="n"/>
      <c r="AD27" s="72" t="n"/>
      <c r="AE27" s="72" t="n"/>
      <c r="AF27" s="72" t="n"/>
      <c r="AG27" s="42" t="n"/>
      <c r="AH27" s="72" t="n"/>
      <c r="AI27" s="72" t="n"/>
      <c r="AJ27" s="72" t="n"/>
      <c r="AK27" s="72" t="n"/>
      <c r="AL27" s="72" t="n"/>
      <c r="AM27" s="72" t="n"/>
      <c r="AN27" s="72" t="n"/>
      <c r="AO27" s="42" t="n"/>
      <c r="AP27" s="72" t="n"/>
      <c r="AQ27" s="72" t="n"/>
      <c r="AR27" s="72" t="n"/>
      <c r="AS27" s="72" t="n"/>
      <c r="AT27" s="72" t="n"/>
      <c r="AU27" s="72" t="n"/>
      <c r="AV27" s="72" t="n"/>
      <c r="AW27" s="42" t="n"/>
      <c r="AX27" s="72" t="n"/>
      <c r="AY27" s="72" t="n"/>
      <c r="AZ27" s="72" t="n"/>
      <c r="BA27" s="72" t="n"/>
      <c r="BB27" s="72" t="n"/>
      <c r="BC27" s="72" t="n"/>
      <c r="BD27" s="72" t="n"/>
    </row>
    <row r="28" ht="22" customHeight="1">
      <c r="B28" s="68" t="inlineStr">
        <is>
          <t>Назначено встреч (шт.)</t>
        </is>
      </c>
      <c r="C28" s="69" t="inlineStr"/>
      <c r="D28" s="69">
        <f>SUM(J28:P28)+SUM(R28:X28)+SUM(Z28:AF28)+SUM(AH28:AN28)+SUM(AP28:AV28)+SUM(AX28:BD28)</f>
        <v/>
      </c>
      <c r="E28" s="70">
        <f>IFERROR(D28/C28,"")</f>
        <v/>
      </c>
      <c r="F28" s="69">
        <f>IFERROR(D28/IF(DAY(TODAY())=0,1,DAY(TODAY()))*G3,"")</f>
        <v/>
      </c>
      <c r="G28" s="70">
        <f>IFERROR(F28/C28,"")</f>
        <v/>
      </c>
      <c r="I28" s="42" t="n"/>
      <c r="J28" s="69" t="n"/>
      <c r="K28" s="69" t="n"/>
      <c r="L28" s="69" t="n"/>
      <c r="M28" s="69" t="n"/>
      <c r="N28" s="69" t="n"/>
      <c r="O28" s="69" t="n"/>
      <c r="P28" s="69" t="n"/>
      <c r="Q28" s="42" t="n"/>
      <c r="R28" s="69" t="n"/>
      <c r="S28" s="69" t="n"/>
      <c r="T28" s="69" t="n"/>
      <c r="U28" s="69" t="n"/>
      <c r="V28" s="69" t="n"/>
      <c r="W28" s="69" t="n"/>
      <c r="X28" s="69" t="n"/>
      <c r="Y28" s="42" t="n"/>
      <c r="Z28" s="69" t="n"/>
      <c r="AA28" s="69" t="n"/>
      <c r="AB28" s="69" t="n"/>
      <c r="AC28" s="69" t="n"/>
      <c r="AD28" s="69" t="n"/>
      <c r="AE28" s="69" t="n"/>
      <c r="AF28" s="69" t="n"/>
      <c r="AG28" s="42" t="n"/>
      <c r="AH28" s="69" t="n"/>
      <c r="AI28" s="69" t="n"/>
      <c r="AJ28" s="69" t="n"/>
      <c r="AK28" s="69" t="n"/>
      <c r="AL28" s="69" t="n"/>
      <c r="AM28" s="69" t="n"/>
      <c r="AN28" s="69" t="n"/>
      <c r="AO28" s="42" t="n"/>
      <c r="AP28" s="69" t="n"/>
      <c r="AQ28" s="69" t="n"/>
      <c r="AR28" s="69" t="n"/>
      <c r="AS28" s="69" t="n"/>
      <c r="AT28" s="69" t="n"/>
      <c r="AU28" s="69" t="n"/>
      <c r="AV28" s="69" t="n"/>
      <c r="AW28" s="42" t="n"/>
      <c r="AX28" s="69" t="n"/>
      <c r="AY28" s="69" t="n"/>
      <c r="AZ28" s="69" t="n"/>
      <c r="BA28" s="69" t="n"/>
      <c r="BB28" s="69" t="n"/>
      <c r="BC28" s="69" t="n"/>
      <c r="BD28" s="69" t="n"/>
    </row>
    <row r="29" ht="22" customHeight="1">
      <c r="B29" s="71" t="inlineStr">
        <is>
          <t>Проведено встреч (шт.)</t>
        </is>
      </c>
      <c r="C29" s="72" t="inlineStr"/>
      <c r="D29" s="72">
        <f>SUM(J29:P29)+SUM(R29:X29)+SUM(Z29:AF29)+SUM(AH29:AN29)+SUM(AP29:AV29)+SUM(AX29:BD29)</f>
        <v/>
      </c>
      <c r="E29" s="73">
        <f>IFERROR(D29/C29,"")</f>
        <v/>
      </c>
      <c r="F29" s="72">
        <f>IFERROR(D29/IF(DAY(TODAY())=0,1,DAY(TODAY()))*G3,"")</f>
        <v/>
      </c>
      <c r="G29" s="73">
        <f>IFERROR(F29/C29,"")</f>
        <v/>
      </c>
      <c r="I29" s="42" t="n"/>
      <c r="J29" s="72" t="n"/>
      <c r="K29" s="72" t="n"/>
      <c r="L29" s="72" t="n"/>
      <c r="M29" s="72" t="n"/>
      <c r="N29" s="72" t="n"/>
      <c r="O29" s="72" t="n"/>
      <c r="P29" s="72" t="n"/>
      <c r="Q29" s="42" t="n"/>
      <c r="R29" s="72" t="n"/>
      <c r="S29" s="72" t="n"/>
      <c r="T29" s="72" t="n"/>
      <c r="U29" s="72" t="n"/>
      <c r="V29" s="72" t="n"/>
      <c r="W29" s="72" t="n"/>
      <c r="X29" s="72" t="n"/>
      <c r="Y29" s="42" t="n"/>
      <c r="Z29" s="72" t="n"/>
      <c r="AA29" s="72" t="n"/>
      <c r="AB29" s="72" t="n"/>
      <c r="AC29" s="72" t="n"/>
      <c r="AD29" s="72" t="n"/>
      <c r="AE29" s="72" t="n"/>
      <c r="AF29" s="72" t="n"/>
      <c r="AG29" s="42" t="n"/>
      <c r="AH29" s="72" t="n"/>
      <c r="AI29" s="72" t="n"/>
      <c r="AJ29" s="72" t="n"/>
      <c r="AK29" s="72" t="n"/>
      <c r="AL29" s="72" t="n"/>
      <c r="AM29" s="72" t="n"/>
      <c r="AN29" s="72" t="n"/>
      <c r="AO29" s="42" t="n"/>
      <c r="AP29" s="72" t="n"/>
      <c r="AQ29" s="72" t="n"/>
      <c r="AR29" s="72" t="n"/>
      <c r="AS29" s="72" t="n"/>
      <c r="AT29" s="72" t="n"/>
      <c r="AU29" s="72" t="n"/>
      <c r="AV29" s="72" t="n"/>
      <c r="AW29" s="42" t="n"/>
      <c r="AX29" s="72" t="n"/>
      <c r="AY29" s="72" t="n"/>
      <c r="AZ29" s="72" t="n"/>
      <c r="BA29" s="72" t="n"/>
      <c r="BB29" s="72" t="n"/>
      <c r="BC29" s="72" t="n"/>
      <c r="BD29" s="72" t="n"/>
    </row>
    <row r="30" ht="22" customHeight="1">
      <c r="B30" s="68" t="inlineStr">
        <is>
          <t>Кол-во продаж (шт.)</t>
        </is>
      </c>
      <c r="C30" s="69" t="inlineStr"/>
      <c r="D30" s="69">
        <f>SUM(J30:P30)+SUM(R30:X30)+SUM(Z30:AF30)+SUM(AH30:AN30)+SUM(AP30:AV30)+SUM(AX30:BD30)</f>
        <v/>
      </c>
      <c r="E30" s="70">
        <f>IFERROR(D30/C30,"")</f>
        <v/>
      </c>
      <c r="F30" s="69">
        <f>IFERROR(D30/IF(DAY(TODAY())=0,1,DAY(TODAY()))*G3,"")</f>
        <v/>
      </c>
      <c r="G30" s="70">
        <f>IFERROR(F30/C30,"")</f>
        <v/>
      </c>
      <c r="I30" s="42" t="n"/>
      <c r="J30" s="69" t="n"/>
      <c r="K30" s="69" t="n"/>
      <c r="L30" s="69" t="n"/>
      <c r="M30" s="69" t="n"/>
      <c r="N30" s="69" t="n"/>
      <c r="O30" s="69" t="n"/>
      <c r="P30" s="69" t="n"/>
      <c r="Q30" s="42" t="n"/>
      <c r="R30" s="69" t="n"/>
      <c r="S30" s="69" t="n"/>
      <c r="T30" s="69" t="n"/>
      <c r="U30" s="69" t="n"/>
      <c r="V30" s="69" t="n"/>
      <c r="W30" s="69" t="n"/>
      <c r="X30" s="69" t="n"/>
      <c r="Y30" s="42" t="n"/>
      <c r="Z30" s="69" t="n"/>
      <c r="AA30" s="69" t="n"/>
      <c r="AB30" s="69" t="n"/>
      <c r="AC30" s="69" t="n"/>
      <c r="AD30" s="69" t="n"/>
      <c r="AE30" s="69" t="n"/>
      <c r="AF30" s="69" t="n"/>
      <c r="AG30" s="42" t="n"/>
      <c r="AH30" s="69" t="n"/>
      <c r="AI30" s="69" t="n"/>
      <c r="AJ30" s="69" t="n"/>
      <c r="AK30" s="69" t="n"/>
      <c r="AL30" s="69" t="n"/>
      <c r="AM30" s="69" t="n"/>
      <c r="AN30" s="69" t="n"/>
      <c r="AO30" s="42" t="n"/>
      <c r="AP30" s="69" t="n"/>
      <c r="AQ30" s="69" t="n"/>
      <c r="AR30" s="69" t="n"/>
      <c r="AS30" s="69" t="n"/>
      <c r="AT30" s="69" t="n"/>
      <c r="AU30" s="69" t="n"/>
      <c r="AV30" s="69" t="n"/>
      <c r="AW30" s="42" t="n"/>
      <c r="AX30" s="69" t="n"/>
      <c r="AY30" s="69" t="n"/>
      <c r="AZ30" s="69" t="n"/>
      <c r="BA30" s="69" t="n"/>
      <c r="BB30" s="69" t="n"/>
      <c r="BC30" s="69" t="n"/>
      <c r="BD30" s="69" t="n"/>
    </row>
    <row r="31" ht="22" customHeight="1">
      <c r="B31" s="71" t="inlineStr">
        <is>
          <t>Сумма продаж (₽)</t>
        </is>
      </c>
      <c r="C31" s="72" t="inlineStr"/>
      <c r="D31" s="72">
        <f>SUM(J31:P31)+SUM(R31:X31)+SUM(Z31:AF31)+SUM(AH31:AN31)+SUM(AP31:AV31)+SUM(AX31:BD31)</f>
        <v/>
      </c>
      <c r="E31" s="73">
        <f>IFERROR(D31/C31,"")</f>
        <v/>
      </c>
      <c r="F31" s="72">
        <f>IFERROR(D31/IF(DAY(TODAY())=0,1,DAY(TODAY()))*G3,"")</f>
        <v/>
      </c>
      <c r="G31" s="73">
        <f>IFERROR(F31/C31,"")</f>
        <v/>
      </c>
      <c r="I31" s="42" t="n"/>
      <c r="J31" s="72" t="n"/>
      <c r="K31" s="72" t="n"/>
      <c r="L31" s="72" t="n"/>
      <c r="M31" s="72" t="n"/>
      <c r="N31" s="72" t="n"/>
      <c r="O31" s="72" t="n"/>
      <c r="P31" s="72" t="n"/>
      <c r="Q31" s="42" t="n"/>
      <c r="R31" s="72" t="n"/>
      <c r="S31" s="72" t="n"/>
      <c r="T31" s="72" t="n"/>
      <c r="U31" s="72" t="n"/>
      <c r="V31" s="72" t="n"/>
      <c r="W31" s="72" t="n"/>
      <c r="X31" s="72" t="n"/>
      <c r="Y31" s="42" t="n"/>
      <c r="Z31" s="72" t="n"/>
      <c r="AA31" s="72" t="n"/>
      <c r="AB31" s="72" t="n"/>
      <c r="AC31" s="72" t="n"/>
      <c r="AD31" s="72" t="n"/>
      <c r="AE31" s="72" t="n"/>
      <c r="AF31" s="72" t="n"/>
      <c r="AG31" s="42" t="n"/>
      <c r="AH31" s="72" t="n"/>
      <c r="AI31" s="72" t="n"/>
      <c r="AJ31" s="72" t="n"/>
      <c r="AK31" s="72" t="n"/>
      <c r="AL31" s="72" t="n"/>
      <c r="AM31" s="72" t="n"/>
      <c r="AN31" s="72" t="n"/>
      <c r="AO31" s="42" t="n"/>
      <c r="AP31" s="72" t="n"/>
      <c r="AQ31" s="72" t="n"/>
      <c r="AR31" s="72" t="n"/>
      <c r="AS31" s="72" t="n"/>
      <c r="AT31" s="72" t="n"/>
      <c r="AU31" s="72" t="n"/>
      <c r="AV31" s="72" t="n"/>
      <c r="AW31" s="42" t="n"/>
      <c r="AX31" s="72" t="n"/>
      <c r="AY31" s="72" t="n"/>
      <c r="AZ31" s="72" t="n"/>
      <c r="BA31" s="72" t="n"/>
      <c r="BB31" s="72" t="n"/>
      <c r="BC31" s="72" t="n"/>
      <c r="BD31" s="72" t="n"/>
    </row>
    <row r="32" ht="22" customHeight="1">
      <c r="B32" s="68" t="inlineStr">
        <is>
          <t>Средний чек (₽)</t>
        </is>
      </c>
      <c r="C32" s="69">
        <f>IFERROR(C31/C30,"")</f>
        <v/>
      </c>
      <c r="D32" s="69">
        <f>IFERROR(D31/D30,"")</f>
        <v/>
      </c>
      <c r="E32" s="70">
        <f>IFERROR(D32/C32,"")</f>
        <v/>
      </c>
      <c r="F32" s="69">
        <f>IFERROR(D32/IF(DAY(TODAY())=0,1,DAY(TODAY()))*G3,"")</f>
        <v/>
      </c>
      <c r="G32" s="70">
        <f>IFERROR(F32/C32,"")</f>
        <v/>
      </c>
      <c r="I32" s="42" t="n"/>
      <c r="J32" s="69" t="n"/>
      <c r="K32" s="69" t="n"/>
      <c r="L32" s="69" t="n"/>
      <c r="M32" s="69" t="n"/>
      <c r="N32" s="69" t="n"/>
      <c r="O32" s="69" t="n"/>
      <c r="P32" s="69" t="n"/>
      <c r="Q32" s="42" t="n"/>
      <c r="R32" s="69" t="n"/>
      <c r="S32" s="69" t="n"/>
      <c r="T32" s="69" t="n"/>
      <c r="U32" s="69" t="n"/>
      <c r="V32" s="69" t="n"/>
      <c r="W32" s="69" t="n"/>
      <c r="X32" s="69" t="n"/>
      <c r="Y32" s="42" t="n"/>
      <c r="Z32" s="69" t="n"/>
      <c r="AA32" s="69" t="n"/>
      <c r="AB32" s="69" t="n"/>
      <c r="AC32" s="69" t="n"/>
      <c r="AD32" s="69" t="n"/>
      <c r="AE32" s="69" t="n"/>
      <c r="AF32" s="69" t="n"/>
      <c r="AG32" s="42" t="n"/>
      <c r="AH32" s="69" t="n"/>
      <c r="AI32" s="69" t="n"/>
      <c r="AJ32" s="69" t="n"/>
      <c r="AK32" s="69" t="n"/>
      <c r="AL32" s="69" t="n"/>
      <c r="AM32" s="69" t="n"/>
      <c r="AN32" s="69" t="n"/>
      <c r="AO32" s="42" t="n"/>
      <c r="AP32" s="69" t="n"/>
      <c r="AQ32" s="69" t="n"/>
      <c r="AR32" s="69" t="n"/>
      <c r="AS32" s="69" t="n"/>
      <c r="AT32" s="69" t="n"/>
      <c r="AU32" s="69" t="n"/>
      <c r="AV32" s="69" t="n"/>
      <c r="AW32" s="42" t="n"/>
      <c r="AX32" s="69" t="n"/>
      <c r="AY32" s="69" t="n"/>
      <c r="AZ32" s="69" t="n"/>
      <c r="BA32" s="69" t="n"/>
      <c r="BB32" s="69" t="n"/>
      <c r="BC32" s="69" t="n"/>
      <c r="BD32" s="69" t="n"/>
    </row>
    <row r="33" ht="22" customHeight="1">
      <c r="B33" s="71" t="inlineStr">
        <is>
          <t>CV лид→продажа (%)</t>
        </is>
      </c>
      <c r="C33" s="75">
        <f>IFERROR(C30/C26,"")</f>
        <v/>
      </c>
      <c r="D33" s="75">
        <f>IFERROR(D30/D26,"")</f>
        <v/>
      </c>
      <c r="E33" s="73">
        <f>IFERROR(D33/C33,"")</f>
        <v/>
      </c>
      <c r="F33" s="113" t="n"/>
      <c r="G33" s="113" t="n"/>
      <c r="I33" s="42" t="n"/>
      <c r="J33" s="75" t="n"/>
      <c r="K33" s="75" t="n"/>
      <c r="L33" s="75" t="n"/>
      <c r="M33" s="75" t="n"/>
      <c r="N33" s="75" t="n"/>
      <c r="O33" s="75" t="n"/>
      <c r="P33" s="75" t="n"/>
      <c r="Q33" s="42" t="n"/>
      <c r="R33" s="75" t="n"/>
      <c r="S33" s="75" t="n"/>
      <c r="T33" s="75" t="n"/>
      <c r="U33" s="75" t="n"/>
      <c r="V33" s="75" t="n"/>
      <c r="W33" s="75" t="n"/>
      <c r="X33" s="75" t="n"/>
      <c r="Y33" s="42" t="n"/>
      <c r="Z33" s="75" t="n"/>
      <c r="AA33" s="75" t="n"/>
      <c r="AB33" s="75" t="n"/>
      <c r="AC33" s="75" t="n"/>
      <c r="AD33" s="75" t="n"/>
      <c r="AE33" s="75" t="n"/>
      <c r="AF33" s="75" t="n"/>
      <c r="AG33" s="42" t="n"/>
      <c r="AH33" s="75" t="n"/>
      <c r="AI33" s="75" t="n"/>
      <c r="AJ33" s="75" t="n"/>
      <c r="AK33" s="75" t="n"/>
      <c r="AL33" s="75" t="n"/>
      <c r="AM33" s="75" t="n"/>
      <c r="AN33" s="75" t="n"/>
      <c r="AO33" s="42" t="n"/>
      <c r="AP33" s="75" t="n"/>
      <c r="AQ33" s="75" t="n"/>
      <c r="AR33" s="75" t="n"/>
      <c r="AS33" s="75" t="n"/>
      <c r="AT33" s="75" t="n"/>
      <c r="AU33" s="75" t="n"/>
      <c r="AV33" s="75" t="n"/>
      <c r="AW33" s="42" t="n"/>
      <c r="AX33" s="75" t="n"/>
      <c r="AY33" s="75" t="n"/>
      <c r="AZ33" s="75" t="n"/>
      <c r="BA33" s="75" t="n"/>
      <c r="BB33" s="75" t="n"/>
      <c r="BC33" s="75" t="n"/>
      <c r="BD33" s="75" t="n"/>
    </row>
    <row r="34" ht="6" customHeight="1"/>
    <row r="35" ht="20" customHeight="1">
      <c r="B35" s="93" t="inlineStr">
        <is>
          <t>МЕНЕДЖЕР 3</t>
        </is>
      </c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4" t="n"/>
    </row>
    <row r="36" ht="22" customHeight="1">
      <c r="B36" s="68" t="inlineStr">
        <is>
          <t>Новых лидов (шт.)</t>
        </is>
      </c>
      <c r="C36" s="69" t="inlineStr"/>
      <c r="D36" s="69">
        <f>SUM(J36:P36)+SUM(R36:X36)+SUM(Z36:AF36)+SUM(AH36:AN36)+SUM(AP36:AV36)+SUM(AX36:BD36)</f>
        <v/>
      </c>
      <c r="E36" s="70">
        <f>IFERROR(D36/C36,"")</f>
        <v/>
      </c>
      <c r="F36" s="69">
        <f>IFERROR(D36/IF(DAY(TODAY())=0,1,DAY(TODAY()))*G3,"")</f>
        <v/>
      </c>
      <c r="G36" s="70">
        <f>IFERROR(F36/C36,"")</f>
        <v/>
      </c>
      <c r="I36" s="42" t="n"/>
      <c r="J36" s="69" t="n"/>
      <c r="K36" s="69" t="n"/>
      <c r="L36" s="69" t="n"/>
      <c r="M36" s="69" t="n"/>
      <c r="N36" s="69" t="n"/>
      <c r="O36" s="69" t="n"/>
      <c r="P36" s="69" t="n"/>
      <c r="Q36" s="42" t="n"/>
      <c r="R36" s="69" t="n"/>
      <c r="S36" s="69" t="n"/>
      <c r="T36" s="69" t="n"/>
      <c r="U36" s="69" t="n"/>
      <c r="V36" s="69" t="n"/>
      <c r="W36" s="69" t="n"/>
      <c r="X36" s="69" t="n"/>
      <c r="Y36" s="42" t="n"/>
      <c r="Z36" s="69" t="n"/>
      <c r="AA36" s="69" t="n"/>
      <c r="AB36" s="69" t="n"/>
      <c r="AC36" s="69" t="n"/>
      <c r="AD36" s="69" t="n"/>
      <c r="AE36" s="69" t="n"/>
      <c r="AF36" s="69" t="n"/>
      <c r="AG36" s="42" t="n"/>
      <c r="AH36" s="69" t="n"/>
      <c r="AI36" s="69" t="n"/>
      <c r="AJ36" s="69" t="n"/>
      <c r="AK36" s="69" t="n"/>
      <c r="AL36" s="69" t="n"/>
      <c r="AM36" s="69" t="n"/>
      <c r="AN36" s="69" t="n"/>
      <c r="AO36" s="42" t="n"/>
      <c r="AP36" s="69" t="n"/>
      <c r="AQ36" s="69" t="n"/>
      <c r="AR36" s="69" t="n"/>
      <c r="AS36" s="69" t="n"/>
      <c r="AT36" s="69" t="n"/>
      <c r="AU36" s="69" t="n"/>
      <c r="AV36" s="69" t="n"/>
      <c r="AW36" s="42" t="n"/>
      <c r="AX36" s="69" t="n"/>
      <c r="AY36" s="69" t="n"/>
      <c r="AZ36" s="69" t="n"/>
      <c r="BA36" s="69" t="n"/>
      <c r="BB36" s="69" t="n"/>
      <c r="BC36" s="69" t="n"/>
      <c r="BD36" s="69" t="n"/>
    </row>
    <row r="37" ht="22" customHeight="1">
      <c r="B37" s="71" t="inlineStr">
        <is>
          <t>КП отправлено (шт.)</t>
        </is>
      </c>
      <c r="C37" s="72" t="inlineStr"/>
      <c r="D37" s="72">
        <f>SUM(J37:P37)+SUM(R37:X37)+SUM(Z37:AF37)+SUM(AH37:AN37)+SUM(AP37:AV37)+SUM(AX37:BD37)</f>
        <v/>
      </c>
      <c r="E37" s="73">
        <f>IFERROR(D37/C37,"")</f>
        <v/>
      </c>
      <c r="F37" s="72">
        <f>IFERROR(D37/IF(DAY(TODAY())=0,1,DAY(TODAY()))*G3,"")</f>
        <v/>
      </c>
      <c r="G37" s="73">
        <f>IFERROR(F37/C37,"")</f>
        <v/>
      </c>
      <c r="I37" s="42" t="n"/>
      <c r="J37" s="72" t="n"/>
      <c r="K37" s="72" t="n"/>
      <c r="L37" s="72" t="n"/>
      <c r="M37" s="72" t="n"/>
      <c r="N37" s="72" t="n"/>
      <c r="O37" s="72" t="n"/>
      <c r="P37" s="72" t="n"/>
      <c r="Q37" s="42" t="n"/>
      <c r="R37" s="72" t="n"/>
      <c r="S37" s="72" t="n"/>
      <c r="T37" s="72" t="n"/>
      <c r="U37" s="72" t="n"/>
      <c r="V37" s="72" t="n"/>
      <c r="W37" s="72" t="n"/>
      <c r="X37" s="72" t="n"/>
      <c r="Y37" s="42" t="n"/>
      <c r="Z37" s="72" t="n"/>
      <c r="AA37" s="72" t="n"/>
      <c r="AB37" s="72" t="n"/>
      <c r="AC37" s="72" t="n"/>
      <c r="AD37" s="72" t="n"/>
      <c r="AE37" s="72" t="n"/>
      <c r="AF37" s="72" t="n"/>
      <c r="AG37" s="42" t="n"/>
      <c r="AH37" s="72" t="n"/>
      <c r="AI37" s="72" t="n"/>
      <c r="AJ37" s="72" t="n"/>
      <c r="AK37" s="72" t="n"/>
      <c r="AL37" s="72" t="n"/>
      <c r="AM37" s="72" t="n"/>
      <c r="AN37" s="72" t="n"/>
      <c r="AO37" s="42" t="n"/>
      <c r="AP37" s="72" t="n"/>
      <c r="AQ37" s="72" t="n"/>
      <c r="AR37" s="72" t="n"/>
      <c r="AS37" s="72" t="n"/>
      <c r="AT37" s="72" t="n"/>
      <c r="AU37" s="72" t="n"/>
      <c r="AV37" s="72" t="n"/>
      <c r="AW37" s="42" t="n"/>
      <c r="AX37" s="72" t="n"/>
      <c r="AY37" s="72" t="n"/>
      <c r="AZ37" s="72" t="n"/>
      <c r="BA37" s="72" t="n"/>
      <c r="BB37" s="72" t="n"/>
      <c r="BC37" s="72" t="n"/>
      <c r="BD37" s="72" t="n"/>
    </row>
    <row r="38" ht="22" customHeight="1">
      <c r="B38" s="68" t="inlineStr">
        <is>
          <t>Назначено встреч (шт.)</t>
        </is>
      </c>
      <c r="C38" s="69" t="inlineStr"/>
      <c r="D38" s="69">
        <f>SUM(J38:P38)+SUM(R38:X38)+SUM(Z38:AF38)+SUM(AH38:AN38)+SUM(AP38:AV38)+SUM(AX38:BD38)</f>
        <v/>
      </c>
      <c r="E38" s="70">
        <f>IFERROR(D38/C38,"")</f>
        <v/>
      </c>
      <c r="F38" s="69">
        <f>IFERROR(D38/IF(DAY(TODAY())=0,1,DAY(TODAY()))*G3,"")</f>
        <v/>
      </c>
      <c r="G38" s="70">
        <f>IFERROR(F38/C38,"")</f>
        <v/>
      </c>
      <c r="I38" s="42" t="n"/>
      <c r="J38" s="69" t="n"/>
      <c r="K38" s="69" t="n"/>
      <c r="L38" s="69" t="n"/>
      <c r="M38" s="69" t="n"/>
      <c r="N38" s="69" t="n"/>
      <c r="O38" s="69" t="n"/>
      <c r="P38" s="69" t="n"/>
      <c r="Q38" s="42" t="n"/>
      <c r="R38" s="69" t="n"/>
      <c r="S38" s="69" t="n"/>
      <c r="T38" s="69" t="n"/>
      <c r="U38" s="69" t="n"/>
      <c r="V38" s="69" t="n"/>
      <c r="W38" s="69" t="n"/>
      <c r="X38" s="69" t="n"/>
      <c r="Y38" s="42" t="n"/>
      <c r="Z38" s="69" t="n"/>
      <c r="AA38" s="69" t="n"/>
      <c r="AB38" s="69" t="n"/>
      <c r="AC38" s="69" t="n"/>
      <c r="AD38" s="69" t="n"/>
      <c r="AE38" s="69" t="n"/>
      <c r="AF38" s="69" t="n"/>
      <c r="AG38" s="42" t="n"/>
      <c r="AH38" s="69" t="n"/>
      <c r="AI38" s="69" t="n"/>
      <c r="AJ38" s="69" t="n"/>
      <c r="AK38" s="69" t="n"/>
      <c r="AL38" s="69" t="n"/>
      <c r="AM38" s="69" t="n"/>
      <c r="AN38" s="69" t="n"/>
      <c r="AO38" s="42" t="n"/>
      <c r="AP38" s="69" t="n"/>
      <c r="AQ38" s="69" t="n"/>
      <c r="AR38" s="69" t="n"/>
      <c r="AS38" s="69" t="n"/>
      <c r="AT38" s="69" t="n"/>
      <c r="AU38" s="69" t="n"/>
      <c r="AV38" s="69" t="n"/>
      <c r="AW38" s="42" t="n"/>
      <c r="AX38" s="69" t="n"/>
      <c r="AY38" s="69" t="n"/>
      <c r="AZ38" s="69" t="n"/>
      <c r="BA38" s="69" t="n"/>
      <c r="BB38" s="69" t="n"/>
      <c r="BC38" s="69" t="n"/>
      <c r="BD38" s="69" t="n"/>
    </row>
    <row r="39" ht="22" customHeight="1">
      <c r="B39" s="71" t="inlineStr">
        <is>
          <t>Проведено встреч (шт.)</t>
        </is>
      </c>
      <c r="C39" s="72" t="inlineStr"/>
      <c r="D39" s="72">
        <f>SUM(J39:P39)+SUM(R39:X39)+SUM(Z39:AF39)+SUM(AH39:AN39)+SUM(AP39:AV39)+SUM(AX39:BD39)</f>
        <v/>
      </c>
      <c r="E39" s="73">
        <f>IFERROR(D39/C39,"")</f>
        <v/>
      </c>
      <c r="F39" s="72">
        <f>IFERROR(D39/IF(DAY(TODAY())=0,1,DAY(TODAY()))*G3,"")</f>
        <v/>
      </c>
      <c r="G39" s="73">
        <f>IFERROR(F39/C39,"")</f>
        <v/>
      </c>
      <c r="I39" s="42" t="n"/>
      <c r="J39" s="72" t="n"/>
      <c r="K39" s="72" t="n"/>
      <c r="L39" s="72" t="n"/>
      <c r="M39" s="72" t="n"/>
      <c r="N39" s="72" t="n"/>
      <c r="O39" s="72" t="n"/>
      <c r="P39" s="72" t="n"/>
      <c r="Q39" s="42" t="n"/>
      <c r="R39" s="72" t="n"/>
      <c r="S39" s="72" t="n"/>
      <c r="T39" s="72" t="n"/>
      <c r="U39" s="72" t="n"/>
      <c r="V39" s="72" t="n"/>
      <c r="W39" s="72" t="n"/>
      <c r="X39" s="72" t="n"/>
      <c r="Y39" s="42" t="n"/>
      <c r="Z39" s="72" t="n"/>
      <c r="AA39" s="72" t="n"/>
      <c r="AB39" s="72" t="n"/>
      <c r="AC39" s="72" t="n"/>
      <c r="AD39" s="72" t="n"/>
      <c r="AE39" s="72" t="n"/>
      <c r="AF39" s="72" t="n"/>
      <c r="AG39" s="42" t="n"/>
      <c r="AH39" s="72" t="n"/>
      <c r="AI39" s="72" t="n"/>
      <c r="AJ39" s="72" t="n"/>
      <c r="AK39" s="72" t="n"/>
      <c r="AL39" s="72" t="n"/>
      <c r="AM39" s="72" t="n"/>
      <c r="AN39" s="72" t="n"/>
      <c r="AO39" s="42" t="n"/>
      <c r="AP39" s="72" t="n"/>
      <c r="AQ39" s="72" t="n"/>
      <c r="AR39" s="72" t="n"/>
      <c r="AS39" s="72" t="n"/>
      <c r="AT39" s="72" t="n"/>
      <c r="AU39" s="72" t="n"/>
      <c r="AV39" s="72" t="n"/>
      <c r="AW39" s="42" t="n"/>
      <c r="AX39" s="72" t="n"/>
      <c r="AY39" s="72" t="n"/>
      <c r="AZ39" s="72" t="n"/>
      <c r="BA39" s="72" t="n"/>
      <c r="BB39" s="72" t="n"/>
      <c r="BC39" s="72" t="n"/>
      <c r="BD39" s="72" t="n"/>
    </row>
    <row r="40" ht="22" customHeight="1">
      <c r="B40" s="68" t="inlineStr">
        <is>
          <t>Кол-во продаж (шт.)</t>
        </is>
      </c>
      <c r="C40" s="69" t="inlineStr"/>
      <c r="D40" s="69">
        <f>SUM(J40:P40)+SUM(R40:X40)+SUM(Z40:AF40)+SUM(AH40:AN40)+SUM(AP40:AV40)+SUM(AX40:BD40)</f>
        <v/>
      </c>
      <c r="E40" s="70">
        <f>IFERROR(D40/C40,"")</f>
        <v/>
      </c>
      <c r="F40" s="69">
        <f>IFERROR(D40/IF(DAY(TODAY())=0,1,DAY(TODAY()))*G3,"")</f>
        <v/>
      </c>
      <c r="G40" s="70">
        <f>IFERROR(F40/C40,"")</f>
        <v/>
      </c>
      <c r="I40" s="42" t="n"/>
      <c r="J40" s="69" t="n"/>
      <c r="K40" s="69" t="n"/>
      <c r="L40" s="69" t="n"/>
      <c r="M40" s="69" t="n"/>
      <c r="N40" s="69" t="n"/>
      <c r="O40" s="69" t="n"/>
      <c r="P40" s="69" t="n"/>
      <c r="Q40" s="42" t="n"/>
      <c r="R40" s="69" t="n"/>
      <c r="S40" s="69" t="n"/>
      <c r="T40" s="69" t="n"/>
      <c r="U40" s="69" t="n"/>
      <c r="V40" s="69" t="n"/>
      <c r="W40" s="69" t="n"/>
      <c r="X40" s="69" t="n"/>
      <c r="Y40" s="42" t="n"/>
      <c r="Z40" s="69" t="n"/>
      <c r="AA40" s="69" t="n"/>
      <c r="AB40" s="69" t="n"/>
      <c r="AC40" s="69" t="n"/>
      <c r="AD40" s="69" t="n"/>
      <c r="AE40" s="69" t="n"/>
      <c r="AF40" s="69" t="n"/>
      <c r="AG40" s="42" t="n"/>
      <c r="AH40" s="69" t="n"/>
      <c r="AI40" s="69" t="n"/>
      <c r="AJ40" s="69" t="n"/>
      <c r="AK40" s="69" t="n"/>
      <c r="AL40" s="69" t="n"/>
      <c r="AM40" s="69" t="n"/>
      <c r="AN40" s="69" t="n"/>
      <c r="AO40" s="42" t="n"/>
      <c r="AP40" s="69" t="n"/>
      <c r="AQ40" s="69" t="n"/>
      <c r="AR40" s="69" t="n"/>
      <c r="AS40" s="69" t="n"/>
      <c r="AT40" s="69" t="n"/>
      <c r="AU40" s="69" t="n"/>
      <c r="AV40" s="69" t="n"/>
      <c r="AW40" s="42" t="n"/>
      <c r="AX40" s="69" t="n"/>
      <c r="AY40" s="69" t="n"/>
      <c r="AZ40" s="69" t="n"/>
      <c r="BA40" s="69" t="n"/>
      <c r="BB40" s="69" t="n"/>
      <c r="BC40" s="69" t="n"/>
      <c r="BD40" s="69" t="n"/>
    </row>
    <row r="41" ht="22" customHeight="1">
      <c r="B41" s="71" t="inlineStr">
        <is>
          <t>Сумма продаж (₽)</t>
        </is>
      </c>
      <c r="C41" s="72" t="inlineStr"/>
      <c r="D41" s="72">
        <f>SUM(J41:P41)+SUM(R41:X41)+SUM(Z41:AF41)+SUM(AH41:AN41)+SUM(AP41:AV41)+SUM(AX41:BD41)</f>
        <v/>
      </c>
      <c r="E41" s="73">
        <f>IFERROR(D41/C41,"")</f>
        <v/>
      </c>
      <c r="F41" s="72">
        <f>IFERROR(D41/IF(DAY(TODAY())=0,1,DAY(TODAY()))*G3,"")</f>
        <v/>
      </c>
      <c r="G41" s="73">
        <f>IFERROR(F41/C41,"")</f>
        <v/>
      </c>
      <c r="I41" s="42" t="n"/>
      <c r="J41" s="72" t="n"/>
      <c r="K41" s="72" t="n"/>
      <c r="L41" s="72" t="n"/>
      <c r="M41" s="72" t="n"/>
      <c r="N41" s="72" t="n"/>
      <c r="O41" s="72" t="n"/>
      <c r="P41" s="72" t="n"/>
      <c r="Q41" s="42" t="n"/>
      <c r="R41" s="72" t="n"/>
      <c r="S41" s="72" t="n"/>
      <c r="T41" s="72" t="n"/>
      <c r="U41" s="72" t="n"/>
      <c r="V41" s="72" t="n"/>
      <c r="W41" s="72" t="n"/>
      <c r="X41" s="72" t="n"/>
      <c r="Y41" s="42" t="n"/>
      <c r="Z41" s="72" t="n"/>
      <c r="AA41" s="72" t="n"/>
      <c r="AB41" s="72" t="n"/>
      <c r="AC41" s="72" t="n"/>
      <c r="AD41" s="72" t="n"/>
      <c r="AE41" s="72" t="n"/>
      <c r="AF41" s="72" t="n"/>
      <c r="AG41" s="42" t="n"/>
      <c r="AH41" s="72" t="n"/>
      <c r="AI41" s="72" t="n"/>
      <c r="AJ41" s="72" t="n"/>
      <c r="AK41" s="72" t="n"/>
      <c r="AL41" s="72" t="n"/>
      <c r="AM41" s="72" t="n"/>
      <c r="AN41" s="72" t="n"/>
      <c r="AO41" s="42" t="n"/>
      <c r="AP41" s="72" t="n"/>
      <c r="AQ41" s="72" t="n"/>
      <c r="AR41" s="72" t="n"/>
      <c r="AS41" s="72" t="n"/>
      <c r="AT41" s="72" t="n"/>
      <c r="AU41" s="72" t="n"/>
      <c r="AV41" s="72" t="n"/>
      <c r="AW41" s="42" t="n"/>
      <c r="AX41" s="72" t="n"/>
      <c r="AY41" s="72" t="n"/>
      <c r="AZ41" s="72" t="n"/>
      <c r="BA41" s="72" t="n"/>
      <c r="BB41" s="72" t="n"/>
      <c r="BC41" s="72" t="n"/>
      <c r="BD41" s="72" t="n"/>
    </row>
    <row r="42" ht="22" customHeight="1">
      <c r="B42" s="68" t="inlineStr">
        <is>
          <t>Средний чек (₽)</t>
        </is>
      </c>
      <c r="C42" s="69">
        <f>IFERROR(C41/C40,"")</f>
        <v/>
      </c>
      <c r="D42" s="69">
        <f>IFERROR(D41/D40,"")</f>
        <v/>
      </c>
      <c r="E42" s="70">
        <f>IFERROR(D42/C42,"")</f>
        <v/>
      </c>
      <c r="F42" s="69">
        <f>IFERROR(D42/IF(DAY(TODAY())=0,1,DAY(TODAY()))*G3,"")</f>
        <v/>
      </c>
      <c r="G42" s="70">
        <f>IFERROR(F42/C42,"")</f>
        <v/>
      </c>
      <c r="I42" s="42" t="n"/>
      <c r="J42" s="69" t="n"/>
      <c r="K42" s="69" t="n"/>
      <c r="L42" s="69" t="n"/>
      <c r="M42" s="69" t="n"/>
      <c r="N42" s="69" t="n"/>
      <c r="O42" s="69" t="n"/>
      <c r="P42" s="69" t="n"/>
      <c r="Q42" s="42" t="n"/>
      <c r="R42" s="69" t="n"/>
      <c r="S42" s="69" t="n"/>
      <c r="T42" s="69" t="n"/>
      <c r="U42" s="69" t="n"/>
      <c r="V42" s="69" t="n"/>
      <c r="W42" s="69" t="n"/>
      <c r="X42" s="69" t="n"/>
      <c r="Y42" s="42" t="n"/>
      <c r="Z42" s="69" t="n"/>
      <c r="AA42" s="69" t="n"/>
      <c r="AB42" s="69" t="n"/>
      <c r="AC42" s="69" t="n"/>
      <c r="AD42" s="69" t="n"/>
      <c r="AE42" s="69" t="n"/>
      <c r="AF42" s="69" t="n"/>
      <c r="AG42" s="42" t="n"/>
      <c r="AH42" s="69" t="n"/>
      <c r="AI42" s="69" t="n"/>
      <c r="AJ42" s="69" t="n"/>
      <c r="AK42" s="69" t="n"/>
      <c r="AL42" s="69" t="n"/>
      <c r="AM42" s="69" t="n"/>
      <c r="AN42" s="69" t="n"/>
      <c r="AO42" s="42" t="n"/>
      <c r="AP42" s="69" t="n"/>
      <c r="AQ42" s="69" t="n"/>
      <c r="AR42" s="69" t="n"/>
      <c r="AS42" s="69" t="n"/>
      <c r="AT42" s="69" t="n"/>
      <c r="AU42" s="69" t="n"/>
      <c r="AV42" s="69" t="n"/>
      <c r="AW42" s="42" t="n"/>
      <c r="AX42" s="69" t="n"/>
      <c r="AY42" s="69" t="n"/>
      <c r="AZ42" s="69" t="n"/>
      <c r="BA42" s="69" t="n"/>
      <c r="BB42" s="69" t="n"/>
      <c r="BC42" s="69" t="n"/>
      <c r="BD42" s="69" t="n"/>
    </row>
    <row r="43" ht="22" customHeight="1">
      <c r="B43" s="71" t="inlineStr">
        <is>
          <t>CV лид→продажа (%)</t>
        </is>
      </c>
      <c r="C43" s="75">
        <f>IFERROR(C40/C36,"")</f>
        <v/>
      </c>
      <c r="D43" s="75">
        <f>IFERROR(D40/D36,"")</f>
        <v/>
      </c>
      <c r="E43" s="73">
        <f>IFERROR(D43/C43,"")</f>
        <v/>
      </c>
      <c r="F43" s="113" t="n"/>
      <c r="G43" s="113" t="n"/>
      <c r="I43" s="42" t="n"/>
      <c r="J43" s="75" t="n"/>
      <c r="K43" s="75" t="n"/>
      <c r="L43" s="75" t="n"/>
      <c r="M43" s="75" t="n"/>
      <c r="N43" s="75" t="n"/>
      <c r="O43" s="75" t="n"/>
      <c r="P43" s="75" t="n"/>
      <c r="Q43" s="42" t="n"/>
      <c r="R43" s="75" t="n"/>
      <c r="S43" s="75" t="n"/>
      <c r="T43" s="75" t="n"/>
      <c r="U43" s="75" t="n"/>
      <c r="V43" s="75" t="n"/>
      <c r="W43" s="75" t="n"/>
      <c r="X43" s="75" t="n"/>
      <c r="Y43" s="42" t="n"/>
      <c r="Z43" s="75" t="n"/>
      <c r="AA43" s="75" t="n"/>
      <c r="AB43" s="75" t="n"/>
      <c r="AC43" s="75" t="n"/>
      <c r="AD43" s="75" t="n"/>
      <c r="AE43" s="75" t="n"/>
      <c r="AF43" s="75" t="n"/>
      <c r="AG43" s="42" t="n"/>
      <c r="AH43" s="75" t="n"/>
      <c r="AI43" s="75" t="n"/>
      <c r="AJ43" s="75" t="n"/>
      <c r="AK43" s="75" t="n"/>
      <c r="AL43" s="75" t="n"/>
      <c r="AM43" s="75" t="n"/>
      <c r="AN43" s="75" t="n"/>
      <c r="AO43" s="42" t="n"/>
      <c r="AP43" s="75" t="n"/>
      <c r="AQ43" s="75" t="n"/>
      <c r="AR43" s="75" t="n"/>
      <c r="AS43" s="75" t="n"/>
      <c r="AT43" s="75" t="n"/>
      <c r="AU43" s="75" t="n"/>
      <c r="AV43" s="75" t="n"/>
      <c r="AW43" s="42" t="n"/>
      <c r="AX43" s="75" t="n"/>
      <c r="AY43" s="75" t="n"/>
      <c r="AZ43" s="75" t="n"/>
      <c r="BA43" s="75" t="n"/>
      <c r="BB43" s="75" t="n"/>
      <c r="BC43" s="75" t="n"/>
      <c r="BD43" s="75" t="n"/>
    </row>
    <row r="44" ht="6" customHeight="1"/>
  </sheetData>
  <mergeCells count="11">
    <mergeCell ref="B2:G2"/>
    <mergeCell ref="R3:X3"/>
    <mergeCell ref="Z3:AF3"/>
    <mergeCell ref="B35:BJ35"/>
    <mergeCell ref="J3:P3"/>
    <mergeCell ref="AP3:AV3"/>
    <mergeCell ref="AX3:BD3"/>
    <mergeCell ref="AH3:AN3"/>
    <mergeCell ref="B15:BJ15"/>
    <mergeCell ref="B25:BJ25"/>
    <mergeCell ref="B5:BJ5"/>
  </mergeCells>
  <conditionalFormatting sqref="E6">
    <cfRule type="cellIs" priority="1" operator="greaterThanOrEqual" dxfId="0">
      <formula>1.0</formula>
    </cfRule>
    <cfRule type="cellIs" priority="2" operator="lessThan" dxfId="1">
      <formula>1.0</formula>
    </cfRule>
    <cfRule type="cellIs" priority="155" operator="greaterThanOrEqual" dxfId="0">
      <formula>1</formula>
    </cfRule>
    <cfRule type="cellIs" priority="156" operator="lessThan" dxfId="1">
      <formula>1</formula>
    </cfRule>
  </conditionalFormatting>
  <conditionalFormatting sqref="E7">
    <cfRule type="cellIs" priority="3" operator="greaterThanOrEqual" dxfId="0">
      <formula>1.0</formula>
    </cfRule>
    <cfRule type="cellIs" priority="4" operator="lessThan" dxfId="1">
      <formula>1.0</formula>
    </cfRule>
    <cfRule type="cellIs" priority="159" operator="greaterThanOrEqual" dxfId="0">
      <formula>1</formula>
    </cfRule>
    <cfRule type="cellIs" priority="160" operator="lessThan" dxfId="1">
      <formula>1</formula>
    </cfRule>
  </conditionalFormatting>
  <conditionalFormatting sqref="E8">
    <cfRule type="cellIs" priority="5" operator="greaterThanOrEqual" dxfId="0">
      <formula>1.0</formula>
    </cfRule>
    <cfRule type="cellIs" priority="6" operator="lessThan" dxfId="1">
      <formula>1.0</formula>
    </cfRule>
    <cfRule type="cellIs" priority="163" operator="greaterThanOrEqual" dxfId="0">
      <formula>1</formula>
    </cfRule>
    <cfRule type="cellIs" priority="164" operator="lessThan" dxfId="1">
      <formula>1</formula>
    </cfRule>
  </conditionalFormatting>
  <conditionalFormatting sqref="E9">
    <cfRule type="cellIs" priority="7" operator="greaterThanOrEqual" dxfId="0">
      <formula>1.0</formula>
    </cfRule>
    <cfRule type="cellIs" priority="8" operator="lessThan" dxfId="1">
      <formula>1.0</formula>
    </cfRule>
    <cfRule type="cellIs" priority="167" operator="greaterThanOrEqual" dxfId="0">
      <formula>1</formula>
    </cfRule>
    <cfRule type="cellIs" priority="168" operator="lessThan" dxfId="1">
      <formula>1</formula>
    </cfRule>
  </conditionalFormatting>
  <conditionalFormatting sqref="E10">
    <cfRule type="cellIs" priority="9" operator="greaterThanOrEqual" dxfId="0">
      <formula>1.0</formula>
    </cfRule>
    <cfRule type="cellIs" priority="10" operator="lessThan" dxfId="1">
      <formula>1.0</formula>
    </cfRule>
    <cfRule type="cellIs" priority="171" operator="greaterThanOrEqual" dxfId="0">
      <formula>1</formula>
    </cfRule>
    <cfRule type="cellIs" priority="172" operator="lessThan" dxfId="1">
      <formula>1</formula>
    </cfRule>
  </conditionalFormatting>
  <conditionalFormatting sqref="E11">
    <cfRule type="cellIs" priority="11" operator="greaterThanOrEqual" dxfId="0">
      <formula>1.0</formula>
    </cfRule>
    <cfRule type="cellIs" priority="12" operator="lessThan" dxfId="1">
      <formula>1.0</formula>
    </cfRule>
    <cfRule type="cellIs" priority="175" operator="greaterThanOrEqual" dxfId="0">
      <formula>1</formula>
    </cfRule>
    <cfRule type="cellIs" priority="176" operator="lessThan" dxfId="1">
      <formula>1</formula>
    </cfRule>
  </conditionalFormatting>
  <conditionalFormatting sqref="E12">
    <cfRule type="cellIs" priority="13" operator="greaterThanOrEqual" dxfId="0">
      <formula>1.0</formula>
    </cfRule>
    <cfRule type="cellIs" priority="14" operator="lessThan" dxfId="1">
      <formula>1.0</formula>
    </cfRule>
    <cfRule type="cellIs" priority="179" operator="greaterThanOrEqual" dxfId="0">
      <formula>1</formula>
    </cfRule>
    <cfRule type="cellIs" priority="180" operator="lessThan" dxfId="1">
      <formula>1</formula>
    </cfRule>
  </conditionalFormatting>
  <conditionalFormatting sqref="E13">
    <cfRule type="cellIs" priority="15" operator="greaterThanOrEqual" dxfId="0">
      <formula>1.0</formula>
    </cfRule>
    <cfRule type="cellIs" priority="16" operator="lessThan" dxfId="1">
      <formula>1.0</formula>
    </cfRule>
    <cfRule type="cellIs" priority="183" operator="greaterThanOrEqual" dxfId="0">
      <formula>1</formula>
    </cfRule>
    <cfRule type="cellIs" priority="184" operator="lessThan" dxfId="1">
      <formula>1</formula>
    </cfRule>
  </conditionalFormatting>
  <conditionalFormatting sqref="E16">
    <cfRule type="cellIs" priority="17" operator="greaterThanOrEqual" dxfId="0">
      <formula>1.0</formula>
    </cfRule>
    <cfRule type="cellIs" priority="18" operator="lessThan" dxfId="1">
      <formula>1.0</formula>
    </cfRule>
    <cfRule type="cellIs" priority="67" operator="greaterThanOrEqual" dxfId="0">
      <formula>1</formula>
    </cfRule>
    <cfRule type="cellIs" priority="68" operator="lessThan" dxfId="1">
      <formula>1</formula>
    </cfRule>
  </conditionalFormatting>
  <conditionalFormatting sqref="E17">
    <cfRule type="cellIs" priority="19" operator="greaterThanOrEqual" dxfId="0">
      <formula>1.0</formula>
    </cfRule>
    <cfRule type="cellIs" priority="20" operator="lessThan" dxfId="1">
      <formula>1.0</formula>
    </cfRule>
    <cfRule type="cellIs" priority="71" operator="greaterThanOrEqual" dxfId="0">
      <formula>1</formula>
    </cfRule>
    <cfRule type="cellIs" priority="72" operator="lessThan" dxfId="1">
      <formula>1</formula>
    </cfRule>
  </conditionalFormatting>
  <conditionalFormatting sqref="E18">
    <cfRule type="cellIs" priority="21" operator="greaterThanOrEqual" dxfId="0">
      <formula>1.0</formula>
    </cfRule>
    <cfRule type="cellIs" priority="22" operator="lessThan" dxfId="1">
      <formula>1.0</formula>
    </cfRule>
    <cfRule type="cellIs" priority="75" operator="greaterThanOrEqual" dxfId="0">
      <formula>1</formula>
    </cfRule>
    <cfRule type="cellIs" priority="76" operator="lessThan" dxfId="1">
      <formula>1</formula>
    </cfRule>
  </conditionalFormatting>
  <conditionalFormatting sqref="E19">
    <cfRule type="cellIs" priority="23" operator="greaterThanOrEqual" dxfId="0">
      <formula>1.0</formula>
    </cfRule>
    <cfRule type="cellIs" priority="24" operator="lessThan" dxfId="1">
      <formula>1.0</formula>
    </cfRule>
    <cfRule type="cellIs" priority="79" operator="greaterThanOrEqual" dxfId="0">
      <formula>1</formula>
    </cfRule>
    <cfRule type="cellIs" priority="80" operator="lessThan" dxfId="1">
      <formula>1</formula>
    </cfRule>
  </conditionalFormatting>
  <conditionalFormatting sqref="E20">
    <cfRule type="cellIs" priority="25" operator="greaterThanOrEqual" dxfId="0">
      <formula>1.0</formula>
    </cfRule>
    <cfRule type="cellIs" priority="26" operator="lessThan" dxfId="1">
      <formula>1.0</formula>
    </cfRule>
    <cfRule type="cellIs" priority="83" operator="greaterThanOrEqual" dxfId="0">
      <formula>1</formula>
    </cfRule>
    <cfRule type="cellIs" priority="84" operator="lessThan" dxfId="1">
      <formula>1</formula>
    </cfRule>
  </conditionalFormatting>
  <conditionalFormatting sqref="E21">
    <cfRule type="cellIs" priority="27" operator="greaterThanOrEqual" dxfId="0">
      <formula>1.0</formula>
    </cfRule>
    <cfRule type="cellIs" priority="28" operator="lessThan" dxfId="1">
      <formula>1.0</formula>
    </cfRule>
    <cfRule type="cellIs" priority="87" operator="greaterThanOrEqual" dxfId="0">
      <formula>1</formula>
    </cfRule>
    <cfRule type="cellIs" priority="88" operator="lessThan" dxfId="1">
      <formula>1</formula>
    </cfRule>
  </conditionalFormatting>
  <conditionalFormatting sqref="E22">
    <cfRule type="cellIs" priority="29" operator="greaterThanOrEqual" dxfId="0">
      <formula>1.0</formula>
    </cfRule>
    <cfRule type="cellIs" priority="30" operator="lessThan" dxfId="1">
      <formula>1.0</formula>
    </cfRule>
    <cfRule type="cellIs" priority="91" operator="greaterThanOrEqual" dxfId="0">
      <formula>1</formula>
    </cfRule>
    <cfRule type="cellIs" priority="92" operator="lessThan" dxfId="1">
      <formula>1</formula>
    </cfRule>
  </conditionalFormatting>
  <conditionalFormatting sqref="E23">
    <cfRule type="cellIs" priority="31" operator="greaterThanOrEqual" dxfId="0">
      <formula>1.0</formula>
    </cfRule>
    <cfRule type="cellIs" priority="32" operator="lessThan" dxfId="1">
      <formula>1.0</formula>
    </cfRule>
    <cfRule type="cellIs" priority="93" operator="greaterThanOrEqual" dxfId="0">
      <formula>1</formula>
    </cfRule>
    <cfRule type="cellIs" priority="94" operator="lessThan" dxfId="1">
      <formula>1</formula>
    </cfRule>
  </conditionalFormatting>
  <conditionalFormatting sqref="E26">
    <cfRule type="cellIs" priority="33" operator="greaterThanOrEqual" dxfId="0">
      <formula>1.0</formula>
    </cfRule>
    <cfRule type="cellIs" priority="34" operator="lessThan" dxfId="1">
      <formula>1.0</formula>
    </cfRule>
    <cfRule type="cellIs" priority="97" operator="greaterThanOrEqual" dxfId="0">
      <formula>1</formula>
    </cfRule>
    <cfRule type="cellIs" priority="98" operator="lessThan" dxfId="1">
      <formula>1</formula>
    </cfRule>
  </conditionalFormatting>
  <conditionalFormatting sqref="E27">
    <cfRule type="cellIs" priority="35" operator="greaterThanOrEqual" dxfId="0">
      <formula>1.0</formula>
    </cfRule>
    <cfRule type="cellIs" priority="36" operator="lessThan" dxfId="1">
      <formula>1.0</formula>
    </cfRule>
    <cfRule type="cellIs" priority="101" operator="greaterThanOrEqual" dxfId="0">
      <formula>1</formula>
    </cfRule>
    <cfRule type="cellIs" priority="102" operator="lessThan" dxfId="1">
      <formula>1</formula>
    </cfRule>
  </conditionalFormatting>
  <conditionalFormatting sqref="E28">
    <cfRule type="cellIs" priority="37" operator="greaterThanOrEqual" dxfId="0">
      <formula>1.0</formula>
    </cfRule>
    <cfRule type="cellIs" priority="38" operator="lessThan" dxfId="1">
      <formula>1.0</formula>
    </cfRule>
    <cfRule type="cellIs" priority="105" operator="greaterThanOrEqual" dxfId="0">
      <formula>1</formula>
    </cfRule>
    <cfRule type="cellIs" priority="106" operator="lessThan" dxfId="1">
      <formula>1</formula>
    </cfRule>
  </conditionalFormatting>
  <conditionalFormatting sqref="E29">
    <cfRule type="cellIs" priority="39" operator="greaterThanOrEqual" dxfId="0">
      <formula>1.0</formula>
    </cfRule>
    <cfRule type="cellIs" priority="40" operator="lessThan" dxfId="1">
      <formula>1.0</formula>
    </cfRule>
    <cfRule type="cellIs" priority="109" operator="greaterThanOrEqual" dxfId="0">
      <formula>1</formula>
    </cfRule>
    <cfRule type="cellIs" priority="110" operator="lessThan" dxfId="1">
      <formula>1</formula>
    </cfRule>
  </conditionalFormatting>
  <conditionalFormatting sqref="E30">
    <cfRule type="cellIs" priority="41" operator="greaterThanOrEqual" dxfId="0">
      <formula>1.0</formula>
    </cfRule>
    <cfRule type="cellIs" priority="42" operator="lessThan" dxfId="1">
      <formula>1.0</formula>
    </cfRule>
    <cfRule type="cellIs" priority="113" operator="greaterThanOrEqual" dxfId="0">
      <formula>1</formula>
    </cfRule>
    <cfRule type="cellIs" priority="114" operator="lessThan" dxfId="1">
      <formula>1</formula>
    </cfRule>
  </conditionalFormatting>
  <conditionalFormatting sqref="E31">
    <cfRule type="cellIs" priority="43" operator="greaterThanOrEqual" dxfId="0">
      <formula>1.0</formula>
    </cfRule>
    <cfRule type="cellIs" priority="44" operator="lessThan" dxfId="1">
      <formula>1.0</formula>
    </cfRule>
    <cfRule type="cellIs" priority="117" operator="greaterThanOrEqual" dxfId="0">
      <formula>1</formula>
    </cfRule>
    <cfRule type="cellIs" priority="118" operator="lessThan" dxfId="1">
      <formula>1</formula>
    </cfRule>
  </conditionalFormatting>
  <conditionalFormatting sqref="E32">
    <cfRule type="cellIs" priority="45" operator="greaterThanOrEqual" dxfId="0">
      <formula>1.0</formula>
    </cfRule>
    <cfRule type="cellIs" priority="46" operator="lessThan" dxfId="1">
      <formula>1.0</formula>
    </cfRule>
    <cfRule type="cellIs" priority="121" operator="greaterThanOrEqual" dxfId="0">
      <formula>1</formula>
    </cfRule>
    <cfRule type="cellIs" priority="122" operator="lessThan" dxfId="1">
      <formula>1</formula>
    </cfRule>
  </conditionalFormatting>
  <conditionalFormatting sqref="E33">
    <cfRule type="cellIs" priority="47" operator="greaterThanOrEqual" dxfId="0">
      <formula>1.0</formula>
    </cfRule>
    <cfRule type="cellIs" priority="48" operator="lessThan" dxfId="1">
      <formula>1.0</formula>
    </cfRule>
    <cfRule type="cellIs" priority="123" operator="greaterThanOrEqual" dxfId="0">
      <formula>1</formula>
    </cfRule>
    <cfRule type="cellIs" priority="124" operator="lessThan" dxfId="1">
      <formula>1</formula>
    </cfRule>
  </conditionalFormatting>
  <conditionalFormatting sqref="E36">
    <cfRule type="cellIs" priority="49" operator="greaterThanOrEqual" dxfId="0">
      <formula>1.0</formula>
    </cfRule>
    <cfRule type="cellIs" priority="50" operator="lessThan" dxfId="1">
      <formula>1.0</formula>
    </cfRule>
    <cfRule type="cellIs" priority="127" operator="greaterThanOrEqual" dxfId="0">
      <formula>1</formula>
    </cfRule>
    <cfRule type="cellIs" priority="128" operator="lessThan" dxfId="1">
      <formula>1</formula>
    </cfRule>
  </conditionalFormatting>
  <conditionalFormatting sqref="E37">
    <cfRule type="cellIs" priority="51" operator="greaterThanOrEqual" dxfId="0">
      <formula>1.0</formula>
    </cfRule>
    <cfRule type="cellIs" priority="52" operator="lessThan" dxfId="1">
      <formula>1.0</formula>
    </cfRule>
    <cfRule type="cellIs" priority="131" operator="greaterThanOrEqual" dxfId="0">
      <formula>1</formula>
    </cfRule>
    <cfRule type="cellIs" priority="132" operator="lessThan" dxfId="1">
      <formula>1</formula>
    </cfRule>
  </conditionalFormatting>
  <conditionalFormatting sqref="E38">
    <cfRule type="cellIs" priority="53" operator="greaterThanOrEqual" dxfId="0">
      <formula>1.0</formula>
    </cfRule>
    <cfRule type="cellIs" priority="54" operator="lessThan" dxfId="1">
      <formula>1.0</formula>
    </cfRule>
    <cfRule type="cellIs" priority="135" operator="greaterThanOrEqual" dxfId="0">
      <formula>1</formula>
    </cfRule>
    <cfRule type="cellIs" priority="136" operator="lessThan" dxfId="1">
      <formula>1</formula>
    </cfRule>
  </conditionalFormatting>
  <conditionalFormatting sqref="E39">
    <cfRule type="cellIs" priority="55" operator="greaterThanOrEqual" dxfId="0">
      <formula>1.0</formula>
    </cfRule>
    <cfRule type="cellIs" priority="56" operator="lessThan" dxfId="1">
      <formula>1.0</formula>
    </cfRule>
    <cfRule type="cellIs" priority="139" operator="greaterThanOrEqual" dxfId="0">
      <formula>1</formula>
    </cfRule>
    <cfRule type="cellIs" priority="140" operator="lessThan" dxfId="1">
      <formula>1</formula>
    </cfRule>
  </conditionalFormatting>
  <conditionalFormatting sqref="E40">
    <cfRule type="cellIs" priority="57" operator="greaterThanOrEqual" dxfId="0">
      <formula>1.0</formula>
    </cfRule>
    <cfRule type="cellIs" priority="58" operator="lessThan" dxfId="1">
      <formula>1.0</formula>
    </cfRule>
    <cfRule type="cellIs" priority="143" operator="greaterThanOrEqual" dxfId="0">
      <formula>1</formula>
    </cfRule>
    <cfRule type="cellIs" priority="144" operator="lessThan" dxfId="1">
      <formula>1</formula>
    </cfRule>
  </conditionalFormatting>
  <conditionalFormatting sqref="E41">
    <cfRule type="cellIs" priority="59" operator="greaterThanOrEqual" dxfId="0">
      <formula>1.0</formula>
    </cfRule>
    <cfRule type="cellIs" priority="60" operator="lessThan" dxfId="1">
      <formula>1.0</formula>
    </cfRule>
    <cfRule type="cellIs" priority="147" operator="greaterThanOrEqual" dxfId="0">
      <formula>1</formula>
    </cfRule>
    <cfRule type="cellIs" priority="148" operator="lessThan" dxfId="1">
      <formula>1</formula>
    </cfRule>
  </conditionalFormatting>
  <conditionalFormatting sqref="E42">
    <cfRule type="cellIs" priority="61" operator="greaterThanOrEqual" dxfId="0">
      <formula>1.0</formula>
    </cfRule>
    <cfRule type="cellIs" priority="62" operator="lessThan" dxfId="1">
      <formula>1.0</formula>
    </cfRule>
    <cfRule type="cellIs" priority="151" operator="greaterThanOrEqual" dxfId="0">
      <formula>1</formula>
    </cfRule>
    <cfRule type="cellIs" priority="152" operator="lessThan" dxfId="1">
      <formula>1</formula>
    </cfRule>
  </conditionalFormatting>
  <conditionalFormatting sqref="E43">
    <cfRule type="cellIs" priority="63" operator="greaterThanOrEqual" dxfId="0">
      <formula>1.0</formula>
    </cfRule>
    <cfRule type="cellIs" priority="64" operator="lessThan" dxfId="1">
      <formula>1.0</formula>
    </cfRule>
    <cfRule type="cellIs" priority="153" operator="greaterThanOrEqual" dxfId="0">
      <formula>1</formula>
    </cfRule>
    <cfRule type="cellIs" priority="154" operator="lessThan" dxfId="1">
      <formula>1</formula>
    </cfRule>
  </conditionalFormatting>
  <conditionalFormatting sqref="G16">
    <cfRule type="cellIs" priority="65" operator="greaterThanOrEqual" dxfId="0">
      <formula>1</formula>
    </cfRule>
    <cfRule type="cellIs" priority="66" operator="lessThan" dxfId="1">
      <formula>1</formula>
    </cfRule>
  </conditionalFormatting>
  <conditionalFormatting sqref="G17">
    <cfRule type="cellIs" priority="69" operator="greaterThanOrEqual" dxfId="0">
      <formula>1</formula>
    </cfRule>
    <cfRule type="cellIs" priority="70" operator="lessThan" dxfId="1">
      <formula>1</formula>
    </cfRule>
  </conditionalFormatting>
  <conditionalFormatting sqref="G18">
    <cfRule type="cellIs" priority="73" operator="greaterThanOrEqual" dxfId="0">
      <formula>1</formula>
    </cfRule>
    <cfRule type="cellIs" priority="74" operator="lessThan" dxfId="1">
      <formula>1</formula>
    </cfRule>
  </conditionalFormatting>
  <conditionalFormatting sqref="G19">
    <cfRule type="cellIs" priority="77" operator="greaterThanOrEqual" dxfId="0">
      <formula>1</formula>
    </cfRule>
    <cfRule type="cellIs" priority="78" operator="lessThan" dxfId="1">
      <formula>1</formula>
    </cfRule>
  </conditionalFormatting>
  <conditionalFormatting sqref="G20">
    <cfRule type="cellIs" priority="81" operator="greaterThanOrEqual" dxfId="0">
      <formula>1</formula>
    </cfRule>
    <cfRule type="cellIs" priority="82" operator="lessThan" dxfId="1">
      <formula>1</formula>
    </cfRule>
  </conditionalFormatting>
  <conditionalFormatting sqref="G21">
    <cfRule type="cellIs" priority="85" operator="greaterThanOrEqual" dxfId="0">
      <formula>1</formula>
    </cfRule>
    <cfRule type="cellIs" priority="86" operator="lessThan" dxfId="1">
      <formula>1</formula>
    </cfRule>
  </conditionalFormatting>
  <conditionalFormatting sqref="G22">
    <cfRule type="cellIs" priority="89" operator="greaterThanOrEqual" dxfId="0">
      <formula>1</formula>
    </cfRule>
    <cfRule type="cellIs" priority="90" operator="lessThan" dxfId="1">
      <formula>1</formula>
    </cfRule>
  </conditionalFormatting>
  <conditionalFormatting sqref="G26">
    <cfRule type="cellIs" priority="95" operator="greaterThanOrEqual" dxfId="0">
      <formula>1</formula>
    </cfRule>
    <cfRule type="cellIs" priority="96" operator="lessThan" dxfId="1">
      <formula>1</formula>
    </cfRule>
  </conditionalFormatting>
  <conditionalFormatting sqref="G27">
    <cfRule type="cellIs" priority="99" operator="greaterThanOrEqual" dxfId="0">
      <formula>1</formula>
    </cfRule>
    <cfRule type="cellIs" priority="100" operator="lessThan" dxfId="1">
      <formula>1</formula>
    </cfRule>
  </conditionalFormatting>
  <conditionalFormatting sqref="G28">
    <cfRule type="cellIs" priority="103" operator="greaterThanOrEqual" dxfId="0">
      <formula>1</formula>
    </cfRule>
    <cfRule type="cellIs" priority="104" operator="lessThan" dxfId="1">
      <formula>1</formula>
    </cfRule>
  </conditionalFormatting>
  <conditionalFormatting sqref="G29">
    <cfRule type="cellIs" priority="107" operator="greaterThanOrEqual" dxfId="0">
      <formula>1</formula>
    </cfRule>
    <cfRule type="cellIs" priority="108" operator="lessThan" dxfId="1">
      <formula>1</formula>
    </cfRule>
  </conditionalFormatting>
  <conditionalFormatting sqref="G30">
    <cfRule type="cellIs" priority="111" operator="greaterThanOrEqual" dxfId="0">
      <formula>1</formula>
    </cfRule>
    <cfRule type="cellIs" priority="112" operator="lessThan" dxfId="1">
      <formula>1</formula>
    </cfRule>
  </conditionalFormatting>
  <conditionalFormatting sqref="G31">
    <cfRule type="cellIs" priority="115" operator="greaterThanOrEqual" dxfId="0">
      <formula>1</formula>
    </cfRule>
    <cfRule type="cellIs" priority="116" operator="lessThan" dxfId="1">
      <formula>1</formula>
    </cfRule>
  </conditionalFormatting>
  <conditionalFormatting sqref="G32">
    <cfRule type="cellIs" priority="119" operator="greaterThanOrEqual" dxfId="0">
      <formula>1</formula>
    </cfRule>
    <cfRule type="cellIs" priority="120" operator="lessThan" dxfId="1">
      <formula>1</formula>
    </cfRule>
  </conditionalFormatting>
  <conditionalFormatting sqref="G36">
    <cfRule type="cellIs" priority="125" operator="greaterThanOrEqual" dxfId="0">
      <formula>1</formula>
    </cfRule>
    <cfRule type="cellIs" priority="126" operator="lessThan" dxfId="1">
      <formula>1</formula>
    </cfRule>
  </conditionalFormatting>
  <conditionalFormatting sqref="G37">
    <cfRule type="cellIs" priority="129" operator="greaterThanOrEqual" dxfId="0">
      <formula>1</formula>
    </cfRule>
    <cfRule type="cellIs" priority="130" operator="lessThan" dxfId="1">
      <formula>1</formula>
    </cfRule>
  </conditionalFormatting>
  <conditionalFormatting sqref="G38">
    <cfRule type="cellIs" priority="133" operator="greaterThanOrEqual" dxfId="0">
      <formula>1</formula>
    </cfRule>
    <cfRule type="cellIs" priority="134" operator="lessThan" dxfId="1">
      <formula>1</formula>
    </cfRule>
  </conditionalFormatting>
  <conditionalFormatting sqref="G39">
    <cfRule type="cellIs" priority="137" operator="greaterThanOrEqual" dxfId="0">
      <formula>1</formula>
    </cfRule>
    <cfRule type="cellIs" priority="138" operator="lessThan" dxfId="1">
      <formula>1</formula>
    </cfRule>
  </conditionalFormatting>
  <conditionalFormatting sqref="G40">
    <cfRule type="cellIs" priority="141" operator="greaterThanOrEqual" dxfId="0">
      <formula>1</formula>
    </cfRule>
    <cfRule type="cellIs" priority="142" operator="lessThan" dxfId="1">
      <formula>1</formula>
    </cfRule>
  </conditionalFormatting>
  <conditionalFormatting sqref="G41">
    <cfRule type="cellIs" priority="145" operator="greaterThanOrEqual" dxfId="0">
      <formula>1</formula>
    </cfRule>
    <cfRule type="cellIs" priority="146" operator="lessThan" dxfId="1">
      <formula>1</formula>
    </cfRule>
  </conditionalFormatting>
  <conditionalFormatting sqref="G42">
    <cfRule type="cellIs" priority="149" operator="greaterThanOrEqual" dxfId="0">
      <formula>1</formula>
    </cfRule>
    <cfRule type="cellIs" priority="150" operator="lessThan" dxfId="1">
      <formula>1</formula>
    </cfRule>
  </conditionalFormatting>
  <conditionalFormatting sqref="G6">
    <cfRule type="cellIs" priority="157" operator="greaterThanOrEqual" dxfId="0">
      <formula>1</formula>
    </cfRule>
    <cfRule type="cellIs" priority="158" operator="lessThan" dxfId="1">
      <formula>1</formula>
    </cfRule>
  </conditionalFormatting>
  <conditionalFormatting sqref="G7">
    <cfRule type="cellIs" priority="161" operator="greaterThanOrEqual" dxfId="0">
      <formula>1</formula>
    </cfRule>
    <cfRule type="cellIs" priority="162" operator="lessThan" dxfId="1">
      <formula>1</formula>
    </cfRule>
  </conditionalFormatting>
  <conditionalFormatting sqref="G8">
    <cfRule type="cellIs" priority="165" operator="greaterThanOrEqual" dxfId="0">
      <formula>1</formula>
    </cfRule>
    <cfRule type="cellIs" priority="166" operator="lessThan" dxfId="1">
      <formula>1</formula>
    </cfRule>
  </conditionalFormatting>
  <conditionalFormatting sqref="G9">
    <cfRule type="cellIs" priority="169" operator="greaterThanOrEqual" dxfId="0">
      <formula>1</formula>
    </cfRule>
    <cfRule type="cellIs" priority="170" operator="lessThan" dxfId="1">
      <formula>1</formula>
    </cfRule>
  </conditionalFormatting>
  <conditionalFormatting sqref="G10">
    <cfRule type="cellIs" priority="173" operator="greaterThanOrEqual" dxfId="0">
      <formula>1</formula>
    </cfRule>
    <cfRule type="cellIs" priority="174" operator="lessThan" dxfId="1">
      <formula>1</formula>
    </cfRule>
  </conditionalFormatting>
  <conditionalFormatting sqref="G11">
    <cfRule type="cellIs" priority="177" operator="greaterThanOrEqual" dxfId="0">
      <formula>1</formula>
    </cfRule>
    <cfRule type="cellIs" priority="178" operator="lessThan" dxfId="1">
      <formula>1</formula>
    </cfRule>
  </conditionalFormatting>
  <conditionalFormatting sqref="G12">
    <cfRule type="cellIs" priority="181" operator="greaterThanOrEqual" dxfId="0">
      <formula>1</formula>
    </cfRule>
    <cfRule type="cellIs" priority="182" operator="lessThan" dxfId="1">
      <formula>1</formula>
    </cfRule>
  </conditionalFormatting>
  <conditionalFormatting sqref="G13">
    <cfRule type="cellIs" priority="185" operator="greaterThanOrEqual" dxfId="0">
      <formula>1</formula>
    </cfRule>
    <cfRule type="cellIs" priority="186" operator="lessThan" dxfId="1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2026-03-29T16:54:39Z</dcterms:created>
  <dcterms:modified xmlns:dcterms="http://purl.org/dc/terms/" xmlns:xsi="http://www.w3.org/2001/XMLSchema-instance" xsi:type="dcterms:W3CDTF">2026-03-29T17:52:05Z</dcterms:modified>
</cp:coreProperties>
</file>